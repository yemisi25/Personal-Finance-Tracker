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xr:revisionPtr revIDLastSave="974" documentId="8_{C46EAF80-9EF0-4132-BDAD-1EC6E25DE0C7}" xr6:coauthVersionLast="47" xr6:coauthVersionMax="47" xr10:uidLastSave="{591E39C3-B837-4099-866C-2051C4832597}"/>
  <bookViews>
    <workbookView xWindow="-108" yWindow="-108" windowWidth="23256" windowHeight="13896" tabRatio="776" activeTab="2" xr2:uid="{00000000-000D-0000-FFFF-FFFF00000000}"/>
  </bookViews>
  <sheets>
    <sheet name="Guide " sheetId="22" r:id="rId1"/>
    <sheet name="Budget Planning" sheetId="15" r:id="rId2"/>
    <sheet name="Budget Tracking" sheetId="16" r:id="rId3"/>
    <sheet name="Budget Dashboard" sheetId="19" r:id="rId4"/>
    <sheet name="Calculations" sheetId="18" r:id="rId5"/>
    <sheet name="Settings" sheetId="17" r:id="rId6"/>
    <sheet name="Dropdown Data" sheetId="20" state="hidden" r:id="rId7"/>
  </sheets>
  <definedNames>
    <definedName name="AnnualCashFlowToDate">#REF!-#REF!-#REF!-#REF!</definedName>
    <definedName name="budget" localSheetId="3">'Budget Dashboard'!$L1</definedName>
    <definedName name="budget_range" localSheetId="3">'Budget Dashboard'!$Q1</definedName>
    <definedName name="budget_rank" localSheetId="3">'Budget Dashboard'!$R1</definedName>
    <definedName name="cc_budget" localSheetId="4">Calculations!$K1</definedName>
    <definedName name="cc_delta" localSheetId="4">Calculations!$L1</definedName>
    <definedName name="cc_in_focus" localSheetId="4">Calculations!$G1</definedName>
    <definedName name="cc_month_number" localSheetId="4">Calculations!$F1</definedName>
    <definedName name="cc_show_remaining_budget" localSheetId="4">Calculations!$I1</definedName>
    <definedName name="cc_show_type" localSheetId="4">Calculations!$H1</definedName>
    <definedName name="cc_tracked" localSheetId="4">Calculations!$J1</definedName>
    <definedName name="cc_type" localSheetId="4">Calculations!$E1</definedName>
    <definedName name="ColumnTitleRegion1..B6.1">#REF!</definedName>
    <definedName name="ColumnTitleRegion1..E8.4">#REF!</definedName>
    <definedName name="ColumnTitleRegion2..D6.1">#REF!</definedName>
    <definedName name="ColumnTitleRegion3..F6.1">#REF!</definedName>
    <definedName name="com_rank" localSheetId="3">'Budget Dashboard'!$S1</definedName>
    <definedName name="comb_rank_norm" localSheetId="3">'Budget Dashboard'!$U1</definedName>
    <definedName name="comb_rank_norm_run_range" localSheetId="3">'Budget Dashboard'!$V1</definedName>
    <definedName name="comb_rank_range" localSheetId="3">'Budget Dashboard'!$T1</definedName>
    <definedName name="comb_rank_unique" localSheetId="3">'Budget Dashboard'!$W1</definedName>
    <definedName name="current_date">TODAY()</definedName>
    <definedName name="DailyCashFlow">SUM(#REF!)</definedName>
    <definedName name="expenses_header_row">ROW(Expenses[[#Headers],[Expenses]])</definedName>
    <definedName name="expenses_max_row">MAX(ROW(Expenses[]))</definedName>
    <definedName name="expenses_min_row">MIN(ROW(Expenses[]))</definedName>
    <definedName name="expenses_total_row">ROW('Budget Planning'!$C$33)</definedName>
    <definedName name="FirstMonth">UPPER(TEXT(StartDate,"mmm "))</definedName>
    <definedName name="header_row_id" localSheetId="3">'Budget Dashboard'!$D1</definedName>
    <definedName name="income_header_row">ROW(Income[[#Headers],[Income]])</definedName>
    <definedName name="income_max_row">MAX(ROW(Income[]))</definedName>
    <definedName name="income_min_row">MIN(ROW(Income[]))</definedName>
    <definedName name="income_total_row">ROW('Budget Planning'!$C$20)</definedName>
    <definedName name="is_cat" localSheetId="3">'Budget Dashboard'!$F1</definedName>
    <definedName name="is_empty" localSheetId="3">'Budget Dashboard'!$H1</definedName>
    <definedName name="is_header" localSheetId="3">'Budget Dashboard'!$E1</definedName>
    <definedName name="is_total" localSheetId="3">'Budget Dashboard'!$G1</definedName>
    <definedName name="item" localSheetId="3">'Budget Dashboard'!$J1</definedName>
    <definedName name="MonthlyCashFlowToDate">#REF!</definedName>
    <definedName name="NextMonth">UPPER(TEXT(EOMONTH(VALUE(#REF! &amp; "1"),0)+1,"mmm "))</definedName>
    <definedName name="out_budget" localSheetId="3">'Budget Dashboard'!$AA1</definedName>
    <definedName name="out_percent_completed" localSheetId="3">'Budget Dashboard'!$AB1</definedName>
    <definedName name="out_tracked" localSheetId="3">'Budget Dashboard'!$Z1</definedName>
    <definedName name="Periods">#REF!</definedName>
    <definedName name="row_id" localSheetId="3">'Budget Dashboard'!$C1</definedName>
    <definedName name="RowTitleRegion1..D2.2">#REF!</definedName>
    <definedName name="RowTitleRegion1..D2.3">#REF!</definedName>
    <definedName name="RowTitleRegion1..D2.4">#REF!</definedName>
    <definedName name="RowTitleRegion1..D2.5">#REF!</definedName>
    <definedName name="RowTitleRegion1..D2.6">#REF!</definedName>
    <definedName name="RowTitleRegion1..D2.7">#REF!</definedName>
    <definedName name="RowTitleRegion1..D2.8">#REF!</definedName>
    <definedName name="RowTitleRegion2..C4.2">#REF!</definedName>
    <definedName name="RowTitleRegion3..G4.2">#REF!</definedName>
    <definedName name="RowTitleRegion4..K4.2">#REF!</definedName>
    <definedName name="RowTitleRegion5..O4.2">#REF!</definedName>
    <definedName name="RowTitleRegion6..C6.2">#REF!</definedName>
    <definedName name="RowTitleRegion7..G6.2">#REF!</definedName>
    <definedName name="RowTitleRegion8..K6.2">#REF!</definedName>
    <definedName name="RowTitleRegion9..O6.2">#REF!</definedName>
    <definedName name="savings_header_row">ROW(Savings[[#Headers],[Savings]])</definedName>
    <definedName name="savings_max_row">MAX(ROW(Savings[]))</definedName>
    <definedName name="savings_min_row">MIN(ROW(Savings[]))</definedName>
    <definedName name="savings_rate_cal_type">Settings!$E$23</definedName>
    <definedName name="savings_total_row">ROW('Budget Planning'!$C$46)</definedName>
    <definedName name="ScrollBarValue">#REF!</definedName>
    <definedName name="selected_period">Calculations!$E$20</definedName>
    <definedName name="selected_period_display">Calculations!$E$21</definedName>
    <definedName name="selected_year">Calculations!$E$19</definedName>
    <definedName name="SelectedPeriod">INDEX(Periods,,ScrollBarValue)</definedName>
    <definedName name="SelectedPeriodColumn">MATCH(SelectedPeriod,Periods,0)</definedName>
    <definedName name="SelectedStartMonth">#REF!</definedName>
    <definedName name="shift_late_income_starting_day">Settings!$E$19</definedName>
    <definedName name="shift_late_income_status">Settings!$E$17</definedName>
    <definedName name="sort_max_row" localSheetId="3">'Budget Dashboard'!$N1</definedName>
    <definedName name="sort_min_row" localSheetId="3">'Budget Dashboard'!$M1</definedName>
    <definedName name="StartDate">DATEVALUE("1-"&amp;SelectedStartMonth&amp;"-" &amp;YEAR(TODAY()))</definedName>
    <definedName name="starting_year">Settings!$E$8</definedName>
    <definedName name="Title3">#REF!</definedName>
    <definedName name="Title4">#REF!</definedName>
    <definedName name="Title5">#REF!</definedName>
    <definedName name="Title6">#REF!</definedName>
    <definedName name="Title7">#REF!</definedName>
    <definedName name="tracked" localSheetId="3">'Budget Dashboard'!$K1</definedName>
    <definedName name="tracked_range" localSheetId="3">'Budget Dashboard'!$O1</definedName>
    <definedName name="tracked_rank" localSheetId="3">'Budget Dashboard'!$P1</definedName>
    <definedName name="type" localSheetId="3">'Budget Dashboard'!$I1</definedName>
    <definedName name="Type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16" l="1" a="1"/>
  <c r="H24" i="16" s="1"/>
  <c r="I24" i="16"/>
  <c r="H23" i="16" a="1"/>
  <c r="H23" i="16" s="1"/>
  <c r="I23" i="16"/>
  <c r="H22" i="16" a="1"/>
  <c r="H22" i="16" s="1"/>
  <c r="I22" i="16"/>
  <c r="H21" i="16" a="1"/>
  <c r="H21" i="16" s="1"/>
  <c r="I21" i="16"/>
  <c r="Q36" i="15"/>
  <c r="Q37" i="15"/>
  <c r="Q38" i="15"/>
  <c r="Q39" i="15"/>
  <c r="Q40" i="15"/>
  <c r="Q41" i="15"/>
  <c r="Q23" i="15"/>
  <c r="Q24" i="15"/>
  <c r="Q25" i="15"/>
  <c r="Q26" i="15"/>
  <c r="Q27" i="15"/>
  <c r="Q28" i="15"/>
  <c r="Q29" i="15"/>
  <c r="Q30" i="15"/>
  <c r="Q12" i="15"/>
  <c r="Q10" i="15"/>
  <c r="Q11" i="15"/>
  <c r="Q13" i="15"/>
  <c r="Q14" i="15"/>
  <c r="Q15" i="15"/>
  <c r="Q16" i="15"/>
  <c r="Q17" i="15"/>
  <c r="Q18" i="15"/>
  <c r="Q19" i="15"/>
  <c r="Q42" i="15" l="1"/>
  <c r="Q43" i="15"/>
  <c r="Q44" i="15"/>
  <c r="Q45" i="15"/>
  <c r="E11" i="18"/>
  <c r="R62" i="18"/>
  <c r="R66" i="18"/>
  <c r="R70" i="18"/>
  <c r="R74" i="18"/>
  <c r="R78" i="18"/>
  <c r="R82" i="18"/>
  <c r="R86" i="18"/>
  <c r="R90" i="18"/>
  <c r="R94" i="18"/>
  <c r="R98" i="18"/>
  <c r="R102" i="18"/>
  <c r="Q62" i="18"/>
  <c r="Q66" i="18"/>
  <c r="Q70" i="18"/>
  <c r="Q74" i="18"/>
  <c r="Q78" i="18"/>
  <c r="Q82" i="18"/>
  <c r="Q86" i="18"/>
  <c r="Q90" i="18"/>
  <c r="Q94" i="18"/>
  <c r="Q98" i="18"/>
  <c r="Q102" i="18"/>
  <c r="P62" i="18"/>
  <c r="P66" i="18"/>
  <c r="P70" i="18"/>
  <c r="P74" i="18"/>
  <c r="P78" i="18"/>
  <c r="P82" i="18"/>
  <c r="P86" i="18"/>
  <c r="P90" i="18"/>
  <c r="P94" i="18"/>
  <c r="P98" i="18"/>
  <c r="P102" i="18"/>
  <c r="P58" i="18"/>
  <c r="R58" i="18"/>
  <c r="Q58" i="18"/>
  <c r="H17" i="16" a="1"/>
  <c r="H17" i="16" s="1"/>
  <c r="I17" i="16"/>
  <c r="H18" i="16" a="1"/>
  <c r="H18" i="16" s="1"/>
  <c r="I18" i="16"/>
  <c r="H16" i="16" a="1"/>
  <c r="H16" i="16" s="1"/>
  <c r="I16" i="16"/>
  <c r="H20" i="16" a="1"/>
  <c r="H20" i="16" s="1"/>
  <c r="I20" i="16"/>
  <c r="H13" i="16" a="1"/>
  <c r="H13" i="16" s="1"/>
  <c r="H14" i="16" a="1"/>
  <c r="H14" i="16" s="1"/>
  <c r="H15" i="16" a="1"/>
  <c r="H15" i="16" s="1"/>
  <c r="H19" i="16" a="1"/>
  <c r="H19" i="16" s="1"/>
  <c r="W51" i="19"/>
  <c r="T51" i="19"/>
  <c r="E51" i="19" a="1"/>
  <c r="E51" i="19" s="1"/>
  <c r="I59" i="18"/>
  <c r="I60" i="18"/>
  <c r="I61" i="18"/>
  <c r="I63" i="18"/>
  <c r="I64" i="18"/>
  <c r="I65" i="18"/>
  <c r="I67" i="18"/>
  <c r="I68" i="18"/>
  <c r="I69" i="18"/>
  <c r="I71" i="18"/>
  <c r="I72" i="18"/>
  <c r="I73" i="18"/>
  <c r="I75" i="18"/>
  <c r="I76" i="18"/>
  <c r="I77" i="18"/>
  <c r="I79" i="18"/>
  <c r="I80" i="18"/>
  <c r="I81" i="18"/>
  <c r="I83" i="18"/>
  <c r="I84" i="18"/>
  <c r="I85" i="18"/>
  <c r="I87" i="18"/>
  <c r="I88" i="18"/>
  <c r="I89" i="18"/>
  <c r="I91" i="18"/>
  <c r="I92" i="18"/>
  <c r="I93" i="18"/>
  <c r="I95" i="18"/>
  <c r="I96" i="18"/>
  <c r="I97" i="18"/>
  <c r="I99" i="18"/>
  <c r="I100" i="18"/>
  <c r="I101" i="18"/>
  <c r="I56" i="18"/>
  <c r="I57" i="18"/>
  <c r="I55" i="18"/>
  <c r="H59" i="18"/>
  <c r="H60" i="18"/>
  <c r="H61" i="18"/>
  <c r="H63" i="18"/>
  <c r="H64" i="18"/>
  <c r="H65" i="18"/>
  <c r="H67" i="18"/>
  <c r="H68" i="18"/>
  <c r="H69" i="18"/>
  <c r="H71" i="18"/>
  <c r="H72" i="18"/>
  <c r="H73" i="18"/>
  <c r="H75" i="18"/>
  <c r="H76" i="18"/>
  <c r="H77" i="18"/>
  <c r="H79" i="18"/>
  <c r="H80" i="18"/>
  <c r="H81" i="18"/>
  <c r="H83" i="18"/>
  <c r="H84" i="18"/>
  <c r="H85" i="18"/>
  <c r="H87" i="18"/>
  <c r="H88" i="18"/>
  <c r="H89" i="18"/>
  <c r="H91" i="18"/>
  <c r="H92" i="18"/>
  <c r="H93" i="18"/>
  <c r="H95" i="18"/>
  <c r="H96" i="18"/>
  <c r="H97" i="18"/>
  <c r="H99" i="18"/>
  <c r="H100" i="18"/>
  <c r="H101" i="18"/>
  <c r="H57" i="18"/>
  <c r="H56" i="18"/>
  <c r="H55" i="18"/>
  <c r="F39" i="18" l="1" a="1"/>
  <c r="F39" i="18" s="1"/>
  <c r="E39" i="18" s="1" a="1"/>
  <c r="E39" i="18" s="1"/>
  <c r="AI20" i="19" s="1"/>
  <c r="AP35" i="19"/>
  <c r="AI35" i="19"/>
  <c r="AI22" i="19"/>
  <c r="I19" i="16"/>
  <c r="I13" i="16" l="1"/>
  <c r="I12" i="16"/>
  <c r="I14" i="16"/>
  <c r="I15" i="16"/>
  <c r="AE39" i="15"/>
  <c r="AS39" i="15"/>
  <c r="BG39" i="15"/>
  <c r="BU39" i="15"/>
  <c r="CI39" i="15"/>
  <c r="CW39" i="15"/>
  <c r="DK39" i="15"/>
  <c r="C13" i="19" a="1"/>
  <c r="C13" i="19" s="1"/>
  <c r="E13" i="19" s="1" a="1"/>
  <c r="E13" i="19" s="1"/>
  <c r="E20" i="18" a="1"/>
  <c r="E20" i="18" s="1"/>
  <c r="E19" i="18" a="1"/>
  <c r="E19" i="18" s="1"/>
  <c r="C9" i="20"/>
  <c r="C10" i="20" s="1"/>
  <c r="C11" i="20" s="1"/>
  <c r="C12" i="20" s="1"/>
  <c r="C13" i="20" s="1"/>
  <c r="C14" i="20" s="1"/>
  <c r="C15" i="20" s="1"/>
  <c r="C16" i="20" s="1"/>
  <c r="C17" i="20" s="1"/>
  <c r="C18" i="20" s="1"/>
  <c r="E12" i="18" a="1"/>
  <c r="E12" i="18" s="1"/>
  <c r="DK10" i="15"/>
  <c r="DK11" i="15"/>
  <c r="CW10" i="15"/>
  <c r="CW11" i="15"/>
  <c r="CI10" i="15"/>
  <c r="CI11" i="15"/>
  <c r="AE10" i="15"/>
  <c r="AE11" i="15"/>
  <c r="BU10" i="15"/>
  <c r="BU11" i="15"/>
  <c r="BG10" i="15"/>
  <c r="BG11" i="15"/>
  <c r="AS10" i="15"/>
  <c r="AS11" i="15"/>
  <c r="E9" i="18"/>
  <c r="E8" i="18" a="1"/>
  <c r="E8" i="18" s="1"/>
  <c r="H12" i="16" a="1"/>
  <c r="H12" i="16" s="1"/>
  <c r="AG6" i="15"/>
  <c r="AU6" i="15"/>
  <c r="BI6" i="15"/>
  <c r="BW6" i="15"/>
  <c r="CK6" i="15"/>
  <c r="CY6" i="15"/>
  <c r="AS12" i="15"/>
  <c r="BG12" i="15"/>
  <c r="BU12" i="15"/>
  <c r="CI12" i="15"/>
  <c r="CW12" i="15"/>
  <c r="DK12" i="15"/>
  <c r="AS13" i="15"/>
  <c r="BG13" i="15"/>
  <c r="BU13" i="15"/>
  <c r="CI13" i="15"/>
  <c r="CW13" i="15"/>
  <c r="DK13" i="15"/>
  <c r="AS14" i="15"/>
  <c r="BG14" i="15"/>
  <c r="BU14" i="15"/>
  <c r="CI14" i="15"/>
  <c r="CW14" i="15"/>
  <c r="DK14" i="15"/>
  <c r="AS15" i="15"/>
  <c r="BG15" i="15"/>
  <c r="BU15" i="15"/>
  <c r="CI15" i="15"/>
  <c r="CW15" i="15"/>
  <c r="DK15" i="15"/>
  <c r="AS16" i="15"/>
  <c r="BG16" i="15"/>
  <c r="BU16" i="15"/>
  <c r="CI16" i="15"/>
  <c r="CW16" i="15"/>
  <c r="DK16" i="15"/>
  <c r="AS17" i="15"/>
  <c r="BG17" i="15"/>
  <c r="BU17" i="15"/>
  <c r="CI17" i="15"/>
  <c r="CW17" i="15"/>
  <c r="DK17" i="15"/>
  <c r="AS18" i="15"/>
  <c r="BG18" i="15"/>
  <c r="BU18" i="15"/>
  <c r="CI18" i="15"/>
  <c r="CW18" i="15"/>
  <c r="DK18" i="15"/>
  <c r="AS19" i="15"/>
  <c r="BG19" i="15"/>
  <c r="BU19" i="15"/>
  <c r="CI19" i="15"/>
  <c r="CW19" i="15"/>
  <c r="DK19" i="15"/>
  <c r="AS23" i="15"/>
  <c r="BG23" i="15"/>
  <c r="BU23" i="15"/>
  <c r="CI23" i="15"/>
  <c r="CW23" i="15"/>
  <c r="DK23" i="15"/>
  <c r="AS24" i="15"/>
  <c r="BG24" i="15"/>
  <c r="BU24" i="15"/>
  <c r="CI24" i="15"/>
  <c r="CW24" i="15"/>
  <c r="DK24" i="15"/>
  <c r="AS25" i="15"/>
  <c r="BG25" i="15"/>
  <c r="BU25" i="15"/>
  <c r="CI25" i="15"/>
  <c r="CW25" i="15"/>
  <c r="DK25" i="15"/>
  <c r="AS26" i="15"/>
  <c r="BG26" i="15"/>
  <c r="BU26" i="15"/>
  <c r="CI26" i="15"/>
  <c r="CW26" i="15"/>
  <c r="DK26" i="15"/>
  <c r="AS27" i="15"/>
  <c r="BG27" i="15"/>
  <c r="BU27" i="15"/>
  <c r="CI27" i="15"/>
  <c r="CW27" i="15"/>
  <c r="DK27" i="15"/>
  <c r="AS28" i="15"/>
  <c r="BG28" i="15"/>
  <c r="BU28" i="15"/>
  <c r="CI28" i="15"/>
  <c r="CW28" i="15"/>
  <c r="DK28" i="15"/>
  <c r="AS29" i="15"/>
  <c r="BG29" i="15"/>
  <c r="BU29" i="15"/>
  <c r="CI29" i="15"/>
  <c r="CW29" i="15"/>
  <c r="DK29" i="15"/>
  <c r="AS30" i="15"/>
  <c r="BG30" i="15"/>
  <c r="BU30" i="15"/>
  <c r="CI30" i="15"/>
  <c r="CW30" i="15"/>
  <c r="DK30" i="15"/>
  <c r="AS31" i="15"/>
  <c r="BG31" i="15"/>
  <c r="BU31" i="15"/>
  <c r="CI31" i="15"/>
  <c r="CW31" i="15"/>
  <c r="DK31" i="15"/>
  <c r="AS32" i="15"/>
  <c r="BG32" i="15"/>
  <c r="BU32" i="15"/>
  <c r="CI32" i="15"/>
  <c r="CW32" i="15"/>
  <c r="DK32" i="15"/>
  <c r="AS36" i="15"/>
  <c r="BG36" i="15"/>
  <c r="BU36" i="15"/>
  <c r="CI36" i="15"/>
  <c r="CW36" i="15"/>
  <c r="DK36" i="15"/>
  <c r="AS37" i="15"/>
  <c r="BG37" i="15"/>
  <c r="BU37" i="15"/>
  <c r="CI37" i="15"/>
  <c r="CW37" i="15"/>
  <c r="DK37" i="15"/>
  <c r="AS38" i="15"/>
  <c r="BG38" i="15"/>
  <c r="BU38" i="15"/>
  <c r="CI38" i="15"/>
  <c r="CW38" i="15"/>
  <c r="DK38" i="15"/>
  <c r="AS40" i="15"/>
  <c r="BG40" i="15"/>
  <c r="BU40" i="15"/>
  <c r="CI40" i="15"/>
  <c r="CW40" i="15"/>
  <c r="DK40" i="15"/>
  <c r="AS41" i="15"/>
  <c r="BG41" i="15"/>
  <c r="BU41" i="15"/>
  <c r="CI41" i="15"/>
  <c r="CW41" i="15"/>
  <c r="DK41" i="15"/>
  <c r="AS42" i="15"/>
  <c r="BG42" i="15"/>
  <c r="BU42" i="15"/>
  <c r="CI42" i="15"/>
  <c r="CW42" i="15"/>
  <c r="DK42" i="15"/>
  <c r="AS43" i="15"/>
  <c r="BG43" i="15"/>
  <c r="BU43" i="15"/>
  <c r="CI43" i="15"/>
  <c r="CW43" i="15"/>
  <c r="DK43" i="15"/>
  <c r="AS44" i="15"/>
  <c r="BG44" i="15"/>
  <c r="BU44" i="15"/>
  <c r="CI44" i="15"/>
  <c r="CW44" i="15"/>
  <c r="DK44" i="15"/>
  <c r="AS45" i="15"/>
  <c r="BG45" i="15"/>
  <c r="BU45" i="15"/>
  <c r="CI45" i="15"/>
  <c r="CW45" i="15"/>
  <c r="DK45" i="15"/>
  <c r="S6" i="15"/>
  <c r="AE12" i="15"/>
  <c r="AE13" i="15"/>
  <c r="AE14" i="15"/>
  <c r="AE15" i="15"/>
  <c r="AE16" i="15"/>
  <c r="AE17" i="15"/>
  <c r="AE18" i="15"/>
  <c r="AE19" i="15"/>
  <c r="AE23" i="15"/>
  <c r="AE24" i="15"/>
  <c r="AE25" i="15"/>
  <c r="AE26" i="15"/>
  <c r="AE27" i="15"/>
  <c r="AE28" i="15"/>
  <c r="AE29" i="15"/>
  <c r="AE30" i="15"/>
  <c r="AE31" i="15"/>
  <c r="AE32" i="15"/>
  <c r="AE36" i="15"/>
  <c r="AE37" i="15"/>
  <c r="AE38" i="15"/>
  <c r="AE40" i="15"/>
  <c r="AE41" i="15"/>
  <c r="AE42" i="15"/>
  <c r="AE43" i="15"/>
  <c r="AE44" i="15"/>
  <c r="AE45" i="15"/>
  <c r="CI20" i="15" a="1"/>
  <c r="CU46" i="15" a="1"/>
  <c r="AX46" i="15" a="1"/>
  <c r="DG46" i="15" a="1"/>
  <c r="AE33" i="15" a="1"/>
  <c r="BY46" i="15" a="1"/>
  <c r="BN20" i="15" a="1"/>
  <c r="U33" i="15" a="1"/>
  <c r="BE46" i="15" a="1"/>
  <c r="CE20" i="15" a="1"/>
  <c r="DC33" i="15" a="1"/>
  <c r="BD20" i="15" a="1"/>
  <c r="AM46" i="15" a="1"/>
  <c r="CS20" i="15" a="1"/>
  <c r="CZ20" i="15" a="1"/>
  <c r="DD46" i="15" a="1"/>
  <c r="CG20" i="15" a="1"/>
  <c r="BZ33" i="15" a="1"/>
  <c r="U46" i="15" a="1"/>
  <c r="CC46" i="15" a="1"/>
  <c r="AY33" i="15" a="1"/>
  <c r="AO33" i="15" a="1"/>
  <c r="DA20" i="15" a="1"/>
  <c r="DC46" i="15" a="1"/>
  <c r="AI46" i="15" a="1"/>
  <c r="AC46" i="15" a="1"/>
  <c r="DF20" i="15" a="1"/>
  <c r="CA20" i="15" a="1"/>
  <c r="CW46" i="15" a="1"/>
  <c r="BN46" i="15" a="1"/>
  <c r="CB46" i="15" a="1"/>
  <c r="CQ46" i="15" a="1"/>
  <c r="BA46" i="15" a="1"/>
  <c r="AB46" i="15" a="1"/>
  <c r="BD46" i="15" a="1"/>
  <c r="H46" i="15" a="1"/>
  <c r="DE46" i="15" a="1"/>
  <c r="S20" i="15" a="1"/>
  <c r="AA46" i="15" a="1"/>
  <c r="DJ46" i="15" a="1"/>
  <c r="BX33" i="15" a="1"/>
  <c r="BR20" i="15" a="1"/>
  <c r="BF20" i="15" a="1"/>
  <c r="AJ33" i="15" a="1"/>
  <c r="AU33" i="15" a="1"/>
  <c r="BT46" i="15" a="1"/>
  <c r="CK20" i="15" a="1"/>
  <c r="CK46" i="15" a="1"/>
  <c r="BG46" i="15" a="1"/>
  <c r="X33" i="15" a="1"/>
  <c r="CQ20" i="15" a="1"/>
  <c r="CH33" i="15" a="1"/>
  <c r="K46" i="15" a="1"/>
  <c r="DH20" i="15" a="1"/>
  <c r="CR33" i="15" a="1"/>
  <c r="AA20" i="15" a="1"/>
  <c r="AQ33" i="15" a="1"/>
  <c r="W46" i="15" a="1"/>
  <c r="T20" i="15" a="1"/>
  <c r="DD33" i="15" a="1"/>
  <c r="CI46" i="15" a="1"/>
  <c r="CM20" i="15" a="1"/>
  <c r="AI33" i="15" a="1"/>
  <c r="AD33" i="15" a="1"/>
  <c r="CD46" i="15" a="1"/>
  <c r="BW46" i="15" a="1"/>
  <c r="AR33" i="15" a="1"/>
  <c r="E20" i="15" a="1"/>
  <c r="CN33" i="15" a="1"/>
  <c r="AV46" i="15" a="1"/>
  <c r="W20" i="15" a="1"/>
  <c r="CH46" i="15" a="1"/>
  <c r="G46" i="15" a="1"/>
  <c r="BB20" i="15" a="1"/>
  <c r="BB33" i="15" a="1"/>
  <c r="BJ33" i="15" a="1"/>
  <c r="I33" i="15" a="1"/>
  <c r="BC46" i="15" a="1"/>
  <c r="CN46" i="15" a="1"/>
  <c r="H33" i="15" a="1"/>
  <c r="X20" i="15" a="1"/>
  <c r="S46" i="15" a="1"/>
  <c r="BO33" i="15" a="1"/>
  <c r="DB33" i="15" a="1"/>
  <c r="V20" i="15" a="1"/>
  <c r="DJ20" i="15" a="1"/>
  <c r="W33" i="15" a="1"/>
  <c r="AW33" i="15" a="1"/>
  <c r="BW33" i="15" a="1"/>
  <c r="AI20" i="15" a="1"/>
  <c r="Z20" i="15" a="1"/>
  <c r="CS46" i="15" a="1"/>
  <c r="AE46" i="15" a="1"/>
  <c r="DK20" i="15" a="1"/>
  <c r="AC33" i="15" a="1"/>
  <c r="CZ33" i="15" a="1"/>
  <c r="AJ46" i="15" a="1"/>
  <c r="AZ33" i="15" a="1"/>
  <c r="BJ20" i="15" a="1"/>
  <c r="CY20" i="15" a="1"/>
  <c r="AK46" i="15" a="1"/>
  <c r="AR20" i="15" a="1"/>
  <c r="AB20" i="15" a="1"/>
  <c r="G33" i="15" a="1"/>
  <c r="CP20" i="15" a="1"/>
  <c r="BU46" i="15" a="1"/>
  <c r="F33" i="15" a="1"/>
  <c r="CT46" i="15" a="1"/>
  <c r="DB46" i="15" a="1"/>
  <c r="E33" i="15" a="1"/>
  <c r="AH33" i="15" a="1"/>
  <c r="BT20" i="15" a="1"/>
  <c r="AE20" i="15" a="1"/>
  <c r="BK46" i="15" a="1"/>
  <c r="BX20" i="15" a="1"/>
  <c r="BG20" i="15" a="1"/>
  <c r="CF20" i="15" a="1"/>
  <c r="BU20" i="15" a="1"/>
  <c r="CA46" i="15" a="1"/>
  <c r="BI46" i="15" a="1"/>
  <c r="BZ46" i="15" a="1"/>
  <c r="AL33" i="15" a="1"/>
  <c r="AB33" i="15" a="1"/>
  <c r="Z33" i="15" a="1"/>
  <c r="BL33" i="15" a="1"/>
  <c r="AS20" i="15" a="1"/>
  <c r="BS46" i="15" a="1"/>
  <c r="AM20" i="15" a="1"/>
  <c r="BS33" i="15" a="1"/>
  <c r="DH33" i="15" a="1"/>
  <c r="BQ20" i="15" a="1"/>
  <c r="CT20" i="15" a="1"/>
  <c r="CM46" i="15" a="1"/>
  <c r="BX46" i="15" a="1"/>
  <c r="CY46" i="15" a="1"/>
  <c r="AH46" i="15" a="1"/>
  <c r="DE33" i="15" a="1"/>
  <c r="AN20" i="15" a="1"/>
  <c r="N46" i="15" a="1"/>
  <c r="AQ46" i="15" a="1"/>
  <c r="CH20" i="15" a="1"/>
  <c r="BP46" i="15" a="1"/>
  <c r="AN33" i="15" a="1"/>
  <c r="CU33" i="15" a="1"/>
  <c r="CO20" i="15" a="1"/>
  <c r="DK46" i="15" a="1"/>
  <c r="BA33" i="15" a="1"/>
  <c r="BW20" i="15" a="1"/>
  <c r="BR33" i="15" a="1"/>
  <c r="DF46" i="15" a="1"/>
  <c r="AC20" i="15" a="1"/>
  <c r="AD20" i="15" a="1"/>
  <c r="DD20" i="15" a="1"/>
  <c r="DF33" i="15" a="1"/>
  <c r="AP20" i="15" a="1"/>
  <c r="BQ46" i="15" a="1"/>
  <c r="CP46" i="15" a="1"/>
  <c r="AQ20" i="15" a="1"/>
  <c r="J46" i="15" a="1"/>
  <c r="BL20" i="15" a="1"/>
  <c r="CK33" i="15" a="1"/>
  <c r="L33" i="15" a="1"/>
  <c r="AU46" i="15" a="1"/>
  <c r="BK33" i="15" a="1"/>
  <c r="BB46" i="15" a="1"/>
  <c r="BF46" i="15" a="1"/>
  <c r="BJ46" i="15" a="1"/>
  <c r="T33" i="15" a="1"/>
  <c r="BI20" i="15" a="1"/>
  <c r="AK33" i="15" a="1"/>
  <c r="BM46" i="15" a="1"/>
  <c r="CZ46" i="15" a="1"/>
  <c r="CA33" i="15" a="1"/>
  <c r="CW20" i="15" a="1"/>
  <c r="AG33" i="15" a="1"/>
  <c r="DI20" i="15" a="1"/>
  <c r="BQ33" i="15" a="1"/>
  <c r="AR46" i="15" a="1"/>
  <c r="CE33" i="15" a="1"/>
  <c r="M46" i="15" a="1"/>
  <c r="AG20" i="15" a="1"/>
  <c r="BY33" i="15" a="1"/>
  <c r="BE20" i="15" a="1"/>
  <c r="AV33" i="15" a="1"/>
  <c r="DG33" i="15" a="1"/>
  <c r="AX20" i="15" a="1"/>
  <c r="BE33" i="15" a="1"/>
  <c r="AO20" i="15" a="1"/>
  <c r="BP33" i="15" a="1"/>
  <c r="BO20" i="15" a="1"/>
  <c r="CV33" i="15" a="1"/>
  <c r="BM33" i="15" a="1"/>
  <c r="CN20" i="15" a="1"/>
  <c r="CW33" i="15" a="1"/>
  <c r="M33" i="15" a="1"/>
  <c r="DA33" i="15" a="1"/>
  <c r="AP46" i="15" a="1"/>
  <c r="E46" i="15" a="1"/>
  <c r="AA33" i="15" a="1"/>
  <c r="AX33" i="15" a="1"/>
  <c r="DH46" i="15" a="1"/>
  <c r="CR20" i="15" a="1"/>
  <c r="CY33" i="15" a="1"/>
  <c r="BA20" i="15" a="1"/>
  <c r="CG33" i="15" a="1"/>
  <c r="AJ20" i="15" a="1"/>
  <c r="V33" i="15" a="1"/>
  <c r="X46" i="15" a="1"/>
  <c r="CC20" i="15" a="1"/>
  <c r="AN46" i="15" a="1"/>
  <c r="BC33" i="15" a="1"/>
  <c r="S33" i="15" a="1"/>
  <c r="Y46" i="15" a="1"/>
  <c r="AW20" i="15" a="1"/>
  <c r="BM20" i="15" a="1"/>
  <c r="DE20" i="15" a="1"/>
  <c r="CF33" i="15" a="1"/>
  <c r="T46" i="15" a="1"/>
  <c r="BR46" i="15" a="1"/>
  <c r="CU20" i="15" a="1"/>
  <c r="DI46" i="15" a="1"/>
  <c r="CB33" i="15" a="1"/>
  <c r="DJ33" i="15" a="1"/>
  <c r="CB20" i="15" a="1"/>
  <c r="AY20" i="15" a="1"/>
  <c r="AU20" i="15" a="1"/>
  <c r="BG33" i="15" a="1"/>
  <c r="BN33" i="15" a="1"/>
  <c r="U20" i="15" a="1"/>
  <c r="AG46" i="15" a="1"/>
  <c r="P33" i="15" a="1"/>
  <c r="CL46" i="15" a="1"/>
  <c r="DB20" i="15" a="1"/>
  <c r="BY20" i="15" a="1"/>
  <c r="AH20" i="15" a="1"/>
  <c r="CF46" i="15" a="1"/>
  <c r="N33" i="15" a="1"/>
  <c r="CO46" i="15" a="1"/>
  <c r="CV46" i="15" a="1"/>
  <c r="CL20" i="15" a="1"/>
  <c r="DG20" i="15" a="1"/>
  <c r="AK20" i="15" a="1"/>
  <c r="AS33" i="15" a="1"/>
  <c r="CG46" i="15" a="1"/>
  <c r="BU33" i="15" a="1"/>
  <c r="BD33" i="15" a="1"/>
  <c r="CM33" i="15" a="1"/>
  <c r="K33" i="15" a="1"/>
  <c r="AW46" i="15" a="1"/>
  <c r="CV20" i="15" a="1"/>
  <c r="F46" i="15" a="1"/>
  <c r="CO33" i="15" a="1"/>
  <c r="BZ20" i="15" a="1"/>
  <c r="CI33" i="15" a="1"/>
  <c r="Q46" i="15" a="1"/>
  <c r="BL46" i="15" a="1"/>
  <c r="BI33" i="15" a="1"/>
  <c r="AZ46" i="15" a="1"/>
  <c r="J33" i="15" a="1"/>
  <c r="I46" i="15" a="1"/>
  <c r="AM33" i="15" a="1"/>
  <c r="DI33" i="15" a="1"/>
  <c r="BS20" i="15" a="1"/>
  <c r="BT33" i="15" a="1"/>
  <c r="BO46" i="15" a="1"/>
  <c r="AD46" i="15" a="1"/>
  <c r="DK33" i="15" a="1"/>
  <c r="CC33" i="15" a="1"/>
  <c r="AV20" i="15" a="1"/>
  <c r="CP33" i="15" a="1"/>
  <c r="P46" i="15" a="1"/>
  <c r="Y33" i="15" a="1"/>
  <c r="L46" i="15" a="1"/>
  <c r="AL20" i="15" a="1"/>
  <c r="AP33" i="15" a="1"/>
  <c r="AS46" i="15" a="1"/>
  <c r="CD20" i="15" a="1"/>
  <c r="BP20" i="15" a="1"/>
  <c r="BC20" i="15" a="1"/>
  <c r="CQ33" i="15" a="1"/>
  <c r="DC20" i="15" a="1"/>
  <c r="V46" i="15" a="1"/>
  <c r="CR46" i="15" a="1"/>
  <c r="Z46" i="15" a="1"/>
  <c r="AZ20" i="15" a="1"/>
  <c r="O46" i="15" a="1"/>
  <c r="CS33" i="15" a="1"/>
  <c r="CE46" i="15" a="1"/>
  <c r="AY46" i="15" a="1"/>
  <c r="O33" i="15" a="1"/>
  <c r="CT33" i="15" a="1"/>
  <c r="BK20" i="15" a="1"/>
  <c r="DA46" i="15" a="1"/>
  <c r="BF33" i="15" a="1"/>
  <c r="AO46" i="15" a="1"/>
  <c r="AL46" i="15" a="1"/>
  <c r="CL33" i="15" a="1"/>
  <c r="CD33" i="15" a="1"/>
  <c r="Y20" i="15" a="1"/>
  <c r="E22" i="18" l="1"/>
  <c r="E23" i="18" s="1" a="1"/>
  <c r="E23" i="18" s="1"/>
  <c r="E24" i="18" s="1"/>
  <c r="D71" i="18"/>
  <c r="D67" i="18"/>
  <c r="D63" i="18"/>
  <c r="D59" i="18"/>
  <c r="D55" i="18"/>
  <c r="D99" i="18"/>
  <c r="D95" i="18"/>
  <c r="D91" i="18"/>
  <c r="D87" i="18"/>
  <c r="D83" i="18"/>
  <c r="D79" i="18"/>
  <c r="D75" i="18"/>
  <c r="E10" i="18"/>
  <c r="D13" i="19"/>
  <c r="I13" i="19" s="1" a="1"/>
  <c r="I13" i="19" s="1"/>
  <c r="C14" i="19" a="1"/>
  <c r="C14" i="19" s="1"/>
  <c r="H13" i="19"/>
  <c r="AB13" i="19" s="1"/>
  <c r="G13" i="19" a="1"/>
  <c r="G13" i="19" s="1"/>
  <c r="E21" i="18"/>
  <c r="AF11" i="19" s="1"/>
  <c r="J13" i="19" a="1"/>
  <c r="J13" i="19" s="1"/>
  <c r="E13" i="18"/>
  <c r="E14" i="18" s="1"/>
  <c r="F33" i="15"/>
  <c r="E33" i="15"/>
  <c r="CV46" i="15"/>
  <c r="CK46" i="15"/>
  <c r="BS46" i="15"/>
  <c r="BB46" i="15"/>
  <c r="CC20" i="15"/>
  <c r="DJ46" i="15"/>
  <c r="DH46" i="15"/>
  <c r="DF46" i="15"/>
  <c r="DD46" i="15"/>
  <c r="CY46" i="15"/>
  <c r="CU46" i="15"/>
  <c r="CP46" i="15"/>
  <c r="CM46" i="15"/>
  <c r="CG46" i="15"/>
  <c r="CD46" i="15"/>
  <c r="BY46" i="15"/>
  <c r="BU46" i="15"/>
  <c r="BP46" i="15"/>
  <c r="BM46" i="15"/>
  <c r="BG46" i="15"/>
  <c r="BD46" i="15"/>
  <c r="AY46" i="15"/>
  <c r="AV46" i="15"/>
  <c r="AP46" i="15"/>
  <c r="AM46" i="15"/>
  <c r="AH46" i="15"/>
  <c r="DE33" i="15"/>
  <c r="CY33" i="15"/>
  <c r="CB33" i="15"/>
  <c r="BP33" i="15"/>
  <c r="AS33" i="15"/>
  <c r="DH20" i="15"/>
  <c r="DB46" i="15"/>
  <c r="CN46" i="15"/>
  <c r="CB46" i="15"/>
  <c r="BN46" i="15"/>
  <c r="BE46" i="15"/>
  <c r="AS46" i="15"/>
  <c r="AK46" i="15"/>
  <c r="DB33" i="15"/>
  <c r="BS33" i="15"/>
  <c r="AJ33" i="15"/>
  <c r="DA46" i="15"/>
  <c r="CW46" i="15"/>
  <c r="CR46" i="15"/>
  <c r="CO46" i="15"/>
  <c r="CI46" i="15"/>
  <c r="CF46" i="15"/>
  <c r="CA46" i="15"/>
  <c r="BX46" i="15"/>
  <c r="BR46" i="15"/>
  <c r="BO46" i="15"/>
  <c r="BJ46" i="15"/>
  <c r="BF46" i="15"/>
  <c r="BA46" i="15"/>
  <c r="AX46" i="15"/>
  <c r="AR46" i="15"/>
  <c r="AO46" i="15"/>
  <c r="AJ46" i="15"/>
  <c r="AG46" i="15"/>
  <c r="DJ33" i="15"/>
  <c r="CK33" i="15"/>
  <c r="BY33" i="15"/>
  <c r="BB33" i="15"/>
  <c r="AP33" i="15"/>
  <c r="CZ20" i="15"/>
  <c r="BF20" i="15"/>
  <c r="CS46" i="15"/>
  <c r="CE46" i="15"/>
  <c r="BW46" i="15"/>
  <c r="BK46" i="15"/>
  <c r="AW46" i="15"/>
  <c r="AN46" i="15"/>
  <c r="DG33" i="15"/>
  <c r="CP33" i="15"/>
  <c r="BG33" i="15"/>
  <c r="DK46" i="15"/>
  <c r="DI46" i="15"/>
  <c r="DG46" i="15"/>
  <c r="DE46" i="15"/>
  <c r="DC46" i="15"/>
  <c r="CZ46" i="15"/>
  <c r="CT46" i="15"/>
  <c r="CQ46" i="15"/>
  <c r="CL46" i="15"/>
  <c r="CH46" i="15"/>
  <c r="CC46" i="15"/>
  <c r="BZ46" i="15"/>
  <c r="BT46" i="15"/>
  <c r="BQ46" i="15"/>
  <c r="BL46" i="15"/>
  <c r="BI46" i="15"/>
  <c r="BC46" i="15"/>
  <c r="AZ46" i="15"/>
  <c r="AU46" i="15"/>
  <c r="AQ46" i="15"/>
  <c r="AL46" i="15"/>
  <c r="AI46" i="15"/>
  <c r="DH33" i="15"/>
  <c r="CS33" i="15"/>
  <c r="CG33" i="15"/>
  <c r="BK33" i="15"/>
  <c r="AY33" i="15"/>
  <c r="CO20" i="15"/>
  <c r="AU20" i="15"/>
  <c r="DI33" i="15"/>
  <c r="DD33" i="15"/>
  <c r="DA33" i="15"/>
  <c r="CU33" i="15"/>
  <c r="CR33" i="15"/>
  <c r="CM33" i="15"/>
  <c r="CI33" i="15"/>
  <c r="CD33" i="15"/>
  <c r="CA33" i="15"/>
  <c r="BU33" i="15"/>
  <c r="BR33" i="15"/>
  <c r="BM33" i="15"/>
  <c r="BJ33" i="15"/>
  <c r="BD33" i="15"/>
  <c r="BA33" i="15"/>
  <c r="AV33" i="15"/>
  <c r="AR33" i="15"/>
  <c r="AM33" i="15"/>
  <c r="AI33" i="15"/>
  <c r="DF20" i="15"/>
  <c r="CW20" i="15"/>
  <c r="CL20" i="15"/>
  <c r="BO20" i="15"/>
  <c r="BC20" i="15"/>
  <c r="DK33" i="15"/>
  <c r="DF33" i="15"/>
  <c r="DC33" i="15"/>
  <c r="CW33" i="15"/>
  <c r="CT33" i="15"/>
  <c r="CO33" i="15"/>
  <c r="CL33" i="15"/>
  <c r="CF33" i="15"/>
  <c r="CC33" i="15"/>
  <c r="BX33" i="15"/>
  <c r="BT33" i="15"/>
  <c r="BO33" i="15"/>
  <c r="BL33" i="15"/>
  <c r="BF33" i="15"/>
  <c r="BC33" i="15"/>
  <c r="AX33" i="15"/>
  <c r="AU33" i="15"/>
  <c r="AO33" i="15"/>
  <c r="AL33" i="15"/>
  <c r="AH33" i="15"/>
  <c r="DK20" i="15"/>
  <c r="DD20" i="15"/>
  <c r="CT20" i="15"/>
  <c r="BX20" i="15"/>
  <c r="BL20" i="15"/>
  <c r="AO20" i="15"/>
  <c r="CZ33" i="15"/>
  <c r="CV33" i="15"/>
  <c r="CQ33" i="15"/>
  <c r="CN33" i="15"/>
  <c r="CH33" i="15"/>
  <c r="CE33" i="15"/>
  <c r="BZ33" i="15"/>
  <c r="BW33" i="15"/>
  <c r="BQ33" i="15"/>
  <c r="BN33" i="15"/>
  <c r="BI33" i="15"/>
  <c r="BE33" i="15"/>
  <c r="AZ33" i="15"/>
  <c r="AW33" i="15"/>
  <c r="AQ33" i="15"/>
  <c r="AN33" i="15"/>
  <c r="AK33" i="15"/>
  <c r="AG33" i="15"/>
  <c r="DJ20" i="15"/>
  <c r="DB20" i="15"/>
  <c r="CF20" i="15"/>
  <c r="BT20" i="15"/>
  <c r="AX20" i="15"/>
  <c r="AL20" i="15"/>
  <c r="CV20" i="15"/>
  <c r="CQ20" i="15"/>
  <c r="CN20" i="15"/>
  <c r="CH20" i="15"/>
  <c r="CE20" i="15"/>
  <c r="BZ20" i="15"/>
  <c r="BW20" i="15"/>
  <c r="BQ20" i="15"/>
  <c r="BN20" i="15"/>
  <c r="BI20" i="15"/>
  <c r="BE20" i="15"/>
  <c r="AZ20" i="15"/>
  <c r="AW20" i="15"/>
  <c r="AQ20" i="15"/>
  <c r="AN20" i="15"/>
  <c r="AI20" i="15"/>
  <c r="DI20" i="15"/>
  <c r="DG20" i="15"/>
  <c r="DE20" i="15"/>
  <c r="DC20" i="15"/>
  <c r="DA20" i="15"/>
  <c r="CY20" i="15"/>
  <c r="CS20" i="15"/>
  <c r="CP20" i="15"/>
  <c r="CK20" i="15"/>
  <c r="CG20" i="15"/>
  <c r="CB20" i="15"/>
  <c r="BY20" i="15"/>
  <c r="BS20" i="15"/>
  <c r="BP20" i="15"/>
  <c r="BK20" i="15"/>
  <c r="BG20" i="15"/>
  <c r="BB20" i="15"/>
  <c r="AY20" i="15"/>
  <c r="AS20" i="15"/>
  <c r="AP20" i="15"/>
  <c r="AK20" i="15"/>
  <c r="CU20" i="15"/>
  <c r="CR20" i="15"/>
  <c r="CM20" i="15"/>
  <c r="CI20" i="15"/>
  <c r="CD20" i="15"/>
  <c r="CA20" i="15"/>
  <c r="BU20" i="15"/>
  <c r="BR20" i="15"/>
  <c r="BM20" i="15"/>
  <c r="BJ20" i="15"/>
  <c r="BD20" i="15"/>
  <c r="BA20" i="15"/>
  <c r="AV20" i="15"/>
  <c r="AR20" i="15"/>
  <c r="AM20" i="15"/>
  <c r="AJ20" i="15"/>
  <c r="AG20" i="15"/>
  <c r="AH20" i="15"/>
  <c r="Z46" i="15"/>
  <c r="V46" i="15"/>
  <c r="AC20" i="15"/>
  <c r="Y20" i="15"/>
  <c r="S20" i="15"/>
  <c r="Z33" i="15"/>
  <c r="V33" i="15"/>
  <c r="AE46" i="15"/>
  <c r="Y46" i="15"/>
  <c r="S46" i="15"/>
  <c r="AD20" i="15"/>
  <c r="AB20" i="15"/>
  <c r="Z20" i="15"/>
  <c r="X20" i="15"/>
  <c r="V20" i="15"/>
  <c r="T20" i="15"/>
  <c r="AD46" i="15"/>
  <c r="AB46" i="15"/>
  <c r="X46" i="15"/>
  <c r="T46" i="15"/>
  <c r="AE20" i="15"/>
  <c r="AA20" i="15"/>
  <c r="W20" i="15"/>
  <c r="U20" i="15"/>
  <c r="AD33" i="15"/>
  <c r="AB33" i="15"/>
  <c r="X33" i="15"/>
  <c r="T33" i="15"/>
  <c r="AC46" i="15"/>
  <c r="AA46" i="15"/>
  <c r="W46" i="15"/>
  <c r="U46" i="15"/>
  <c r="AE33" i="15"/>
  <c r="AC33" i="15"/>
  <c r="AA33" i="15"/>
  <c r="Y33" i="15"/>
  <c r="W33" i="15"/>
  <c r="U33" i="15"/>
  <c r="S33" i="15"/>
  <c r="E20" i="15"/>
  <c r="I33" i="15"/>
  <c r="J33" i="15"/>
  <c r="H33" i="15"/>
  <c r="G33" i="15"/>
  <c r="Q46" i="15"/>
  <c r="P33" i="15"/>
  <c r="N33" i="15"/>
  <c r="L33" i="15"/>
  <c r="O33" i="15"/>
  <c r="M33" i="15"/>
  <c r="K33" i="15"/>
  <c r="O46" i="15"/>
  <c r="P46" i="15"/>
  <c r="J46" i="15"/>
  <c r="N46" i="15"/>
  <c r="L46" i="15"/>
  <c r="M46" i="15"/>
  <c r="K46" i="15"/>
  <c r="I46" i="15"/>
  <c r="G46" i="15"/>
  <c r="H46" i="15"/>
  <c r="F46" i="15"/>
  <c r="E46" i="15"/>
  <c r="Q32" i="15"/>
  <c r="Q31" i="15"/>
  <c r="E5" i="15"/>
  <c r="O20" i="15" a="1"/>
  <c r="Q20" i="15" a="1"/>
  <c r="G20" i="15" a="1"/>
  <c r="F20" i="15" a="1"/>
  <c r="I20" i="15" a="1"/>
  <c r="M20" i="15" a="1"/>
  <c r="P20" i="15" a="1"/>
  <c r="K20" i="15" a="1"/>
  <c r="J20" i="15" a="1"/>
  <c r="N20" i="15" a="1"/>
  <c r="L20" i="15" a="1"/>
  <c r="H20" i="15" a="1"/>
  <c r="Q33" i="15" a="1"/>
  <c r="C15" i="19" l="1" a="1"/>
  <c r="C15" i="19" s="1"/>
  <c r="E15" i="19" s="1" a="1"/>
  <c r="E15" i="19" s="1"/>
  <c r="E14" i="19" a="1"/>
  <c r="E14" i="19" s="1"/>
  <c r="L13" i="19" a="1"/>
  <c r="L13" i="19" s="1"/>
  <c r="F60" i="18"/>
  <c r="F61" i="18"/>
  <c r="F59" i="18"/>
  <c r="F80" i="18"/>
  <c r="F81" i="18"/>
  <c r="F79" i="18"/>
  <c r="F87" i="18"/>
  <c r="F88" i="18"/>
  <c r="F89" i="18"/>
  <c r="F101" i="18"/>
  <c r="F100" i="18"/>
  <c r="F99" i="18"/>
  <c r="F77" i="18"/>
  <c r="F75" i="18"/>
  <c r="F76" i="18"/>
  <c r="F95" i="18"/>
  <c r="F96" i="18"/>
  <c r="F97" i="18"/>
  <c r="F57" i="18"/>
  <c r="F55" i="18"/>
  <c r="F56" i="18"/>
  <c r="F68" i="18"/>
  <c r="F69" i="18"/>
  <c r="F67" i="18"/>
  <c r="F84" i="18"/>
  <c r="F85" i="18"/>
  <c r="F83" i="18"/>
  <c r="F91" i="18"/>
  <c r="F92" i="18"/>
  <c r="F93" i="18"/>
  <c r="F65" i="18"/>
  <c r="F64" i="18"/>
  <c r="F63" i="18"/>
  <c r="F71" i="18"/>
  <c r="F72" i="18"/>
  <c r="F73" i="18"/>
  <c r="F13" i="19"/>
  <c r="P13" i="19" s="1"/>
  <c r="AC13" i="19"/>
  <c r="AD13" i="19"/>
  <c r="Y11" i="19"/>
  <c r="AA13" i="19"/>
  <c r="Z13" i="19"/>
  <c r="J14" i="19" a="1"/>
  <c r="J14" i="19" s="1"/>
  <c r="G14" i="19" a="1"/>
  <c r="G14" i="19" s="1"/>
  <c r="H14" i="19"/>
  <c r="BU22" i="15"/>
  <c r="DK35" i="15"/>
  <c r="DK22" i="15"/>
  <c r="CW35" i="15"/>
  <c r="CW22" i="15"/>
  <c r="CW9" i="15"/>
  <c r="CI22" i="15"/>
  <c r="CI9" i="15"/>
  <c r="BU9" i="15"/>
  <c r="DK9" i="15"/>
  <c r="CI35" i="15"/>
  <c r="BU35" i="15"/>
  <c r="BG22" i="15"/>
  <c r="AS35" i="15"/>
  <c r="BG9" i="15"/>
  <c r="BG35" i="15"/>
  <c r="AE9" i="15"/>
  <c r="AS22" i="15"/>
  <c r="AS9" i="15"/>
  <c r="AE35" i="15"/>
  <c r="AE22" i="15"/>
  <c r="CI7" i="15"/>
  <c r="CI6" i="15" s="1"/>
  <c r="BA7" i="15"/>
  <c r="BA6" i="15" s="1"/>
  <c r="Q9" i="15"/>
  <c r="J35" i="15"/>
  <c r="S5" i="15"/>
  <c r="I35" i="15"/>
  <c r="H35" i="15"/>
  <c r="G35" i="15"/>
  <c r="F35" i="15"/>
  <c r="K35" i="15"/>
  <c r="E35" i="15"/>
  <c r="M35" i="15"/>
  <c r="Q35" i="15"/>
  <c r="L35" i="15"/>
  <c r="P35" i="15"/>
  <c r="Q22" i="15"/>
  <c r="O35" i="15"/>
  <c r="N35" i="15"/>
  <c r="BR7" i="15"/>
  <c r="BR6" i="15" s="1"/>
  <c r="AK7" i="15"/>
  <c r="AK6" i="15" s="1"/>
  <c r="DA7" i="15"/>
  <c r="DA6" i="15" s="1"/>
  <c r="AJ7" i="15"/>
  <c r="AJ6" i="15" s="1"/>
  <c r="BB7" i="15"/>
  <c r="BB6" i="15" s="1"/>
  <c r="DI7" i="15"/>
  <c r="DI6" i="15" s="1"/>
  <c r="E7" i="15"/>
  <c r="E6" i="15" s="1"/>
  <c r="BS7" i="15"/>
  <c r="BS6" i="15" s="1"/>
  <c r="AW7" i="15"/>
  <c r="AW6" i="15" s="1"/>
  <c r="BN7" i="15"/>
  <c r="BN6" i="15" s="1"/>
  <c r="CE7" i="15"/>
  <c r="CE6" i="15" s="1"/>
  <c r="CV7" i="15"/>
  <c r="CV6" i="15" s="1"/>
  <c r="CF7" i="15"/>
  <c r="CF6" i="15" s="1"/>
  <c r="CT7" i="15"/>
  <c r="CT6" i="15" s="1"/>
  <c r="BO7" i="15"/>
  <c r="BO6" i="15" s="1"/>
  <c r="CO7" i="15"/>
  <c r="CO6" i="15" s="1"/>
  <c r="DH7" i="15"/>
  <c r="DH6" i="15" s="1"/>
  <c r="AH7" i="15"/>
  <c r="AH6" i="15" s="1"/>
  <c r="AR7" i="15"/>
  <c r="AR6" i="15" s="1"/>
  <c r="BJ7" i="15"/>
  <c r="BJ6" i="15" s="1"/>
  <c r="CA7" i="15"/>
  <c r="CA6" i="15" s="1"/>
  <c r="CR7" i="15"/>
  <c r="CR6" i="15" s="1"/>
  <c r="DJ7" i="15"/>
  <c r="DJ6" i="15" s="1"/>
  <c r="DK7" i="15"/>
  <c r="DK6" i="15" s="1"/>
  <c r="AM7" i="15"/>
  <c r="AM6" i="15" s="1"/>
  <c r="BD7" i="15"/>
  <c r="BD6" i="15" s="1"/>
  <c r="BU7" i="15"/>
  <c r="BU6" i="15" s="1"/>
  <c r="CM7" i="15"/>
  <c r="CM6" i="15" s="1"/>
  <c r="AO7" i="15"/>
  <c r="AO6" i="15" s="1"/>
  <c r="DD7" i="15"/>
  <c r="DD6" i="15" s="1"/>
  <c r="BP7" i="15"/>
  <c r="BP6" i="15" s="1"/>
  <c r="CG7" i="15"/>
  <c r="CG6" i="15" s="1"/>
  <c r="AS7" i="15"/>
  <c r="AS6" i="15" s="1"/>
  <c r="BK7" i="15"/>
  <c r="BK6" i="15" s="1"/>
  <c r="CB7" i="15"/>
  <c r="CB6" i="15" s="1"/>
  <c r="AN7" i="15"/>
  <c r="AN6" i="15" s="1"/>
  <c r="BE7" i="15"/>
  <c r="BE6" i="15" s="1"/>
  <c r="CN7" i="15"/>
  <c r="CN6" i="15" s="1"/>
  <c r="BL7" i="15"/>
  <c r="BL6" i="15" s="1"/>
  <c r="AV7" i="15"/>
  <c r="AV6" i="15" s="1"/>
  <c r="BM7" i="15"/>
  <c r="BM6" i="15" s="1"/>
  <c r="CD7" i="15"/>
  <c r="CD6" i="15" s="1"/>
  <c r="CU7" i="15"/>
  <c r="CU6" i="15" s="1"/>
  <c r="AY7" i="15"/>
  <c r="AY6" i="15" s="1"/>
  <c r="DG7" i="15"/>
  <c r="DG6" i="15" s="1"/>
  <c r="AP7" i="15"/>
  <c r="AP6" i="15" s="1"/>
  <c r="BG7" i="15"/>
  <c r="BG6" i="15" s="1"/>
  <c r="BY7" i="15"/>
  <c r="BY6" i="15" s="1"/>
  <c r="CP7" i="15"/>
  <c r="CP6" i="15" s="1"/>
  <c r="DC7" i="15"/>
  <c r="DC6" i="15" s="1"/>
  <c r="AI7" i="15"/>
  <c r="AI6" i="15" s="1"/>
  <c r="AZ7" i="15"/>
  <c r="AZ6" i="15" s="1"/>
  <c r="BQ7" i="15"/>
  <c r="BQ6" i="15" s="1"/>
  <c r="CH7" i="15"/>
  <c r="CH6" i="15" s="1"/>
  <c r="AL7" i="15"/>
  <c r="AL6" i="15" s="1"/>
  <c r="DB7" i="15"/>
  <c r="DB6" i="15" s="1"/>
  <c r="CL7" i="15"/>
  <c r="CL6" i="15" s="1"/>
  <c r="BF7" i="15"/>
  <c r="BF6" i="15" s="1"/>
  <c r="CS7" i="15"/>
  <c r="CS6" i="15" s="1"/>
  <c r="DE7" i="15"/>
  <c r="DE6" i="15" s="1"/>
  <c r="AX7" i="15"/>
  <c r="AX6" i="15" s="1"/>
  <c r="CW7" i="15"/>
  <c r="CW6" i="15" s="1"/>
  <c r="CZ7" i="15"/>
  <c r="CZ6" i="15" s="1"/>
  <c r="AQ7" i="15"/>
  <c r="AQ6" i="15" s="1"/>
  <c r="BZ7" i="15"/>
  <c r="BZ6" i="15" s="1"/>
  <c r="CQ7" i="15"/>
  <c r="CQ6" i="15" s="1"/>
  <c r="BT7" i="15"/>
  <c r="BT6" i="15" s="1"/>
  <c r="BX7" i="15"/>
  <c r="BX6" i="15" s="1"/>
  <c r="BC7" i="15"/>
  <c r="BC6" i="15" s="1"/>
  <c r="DF7" i="15"/>
  <c r="DF6" i="15" s="1"/>
  <c r="CC7" i="15"/>
  <c r="CC6" i="15" s="1"/>
  <c r="AB7" i="15"/>
  <c r="AB6" i="15" s="1"/>
  <c r="V7" i="15"/>
  <c r="V6" i="15" s="1"/>
  <c r="AD7" i="15"/>
  <c r="AD6" i="15" s="1"/>
  <c r="U7" i="15"/>
  <c r="U6" i="15" s="1"/>
  <c r="AC7" i="15"/>
  <c r="AC6" i="15" s="1"/>
  <c r="Y7" i="15"/>
  <c r="Y6" i="15" s="1"/>
  <c r="W7" i="15"/>
  <c r="W6" i="15" s="1"/>
  <c r="X7" i="15"/>
  <c r="X6" i="15" s="1"/>
  <c r="T7" i="15"/>
  <c r="T6" i="15" s="1"/>
  <c r="AA7" i="15"/>
  <c r="AA6" i="15" s="1"/>
  <c r="AE7" i="15"/>
  <c r="AE6" i="15" s="1"/>
  <c r="Z7" i="15"/>
  <c r="Z6" i="15" s="1"/>
  <c r="Q33" i="15"/>
  <c r="F22" i="15"/>
  <c r="J22" i="15"/>
  <c r="N22" i="15"/>
  <c r="H22" i="15"/>
  <c r="L22" i="15"/>
  <c r="P22" i="15"/>
  <c r="E22" i="15"/>
  <c r="I22" i="15"/>
  <c r="M22" i="15"/>
  <c r="G22" i="15"/>
  <c r="K22" i="15"/>
  <c r="O22" i="15"/>
  <c r="N20" i="15"/>
  <c r="O20" i="15"/>
  <c r="K20" i="15"/>
  <c r="G20" i="15"/>
  <c r="Q20" i="15"/>
  <c r="M20" i="15"/>
  <c r="I20" i="15"/>
  <c r="P20" i="15"/>
  <c r="L20" i="15"/>
  <c r="J20" i="15"/>
  <c r="H20" i="15"/>
  <c r="F20" i="15"/>
  <c r="H9" i="15"/>
  <c r="L9" i="15"/>
  <c r="E9" i="15"/>
  <c r="I9" i="15"/>
  <c r="M9" i="15"/>
  <c r="F9" i="15"/>
  <c r="J9" i="15"/>
  <c r="N9" i="15"/>
  <c r="G9" i="15"/>
  <c r="K9" i="15"/>
  <c r="O9" i="15"/>
  <c r="P9" i="15"/>
  <c r="C16" i="19" l="1" a="1"/>
  <c r="C16" i="19" s="1"/>
  <c r="E16" i="19" s="1" a="1"/>
  <c r="E16" i="19" s="1"/>
  <c r="L14" i="19" a="1"/>
  <c r="L14" i="19" s="1"/>
  <c r="G15" i="19" a="1"/>
  <c r="G15" i="19" s="1"/>
  <c r="H15" i="19"/>
  <c r="J15" i="19" a="1"/>
  <c r="J15" i="19" s="1"/>
  <c r="R13" i="19"/>
  <c r="V13" i="19"/>
  <c r="T13" i="19"/>
  <c r="X13" i="19"/>
  <c r="Q13" i="19"/>
  <c r="U13" i="19"/>
  <c r="M13" i="19" a="1"/>
  <c r="M13" i="19" s="1"/>
  <c r="N13" i="19" a="1"/>
  <c r="N13" i="19" s="1"/>
  <c r="S13" i="19"/>
  <c r="W13" i="19"/>
  <c r="K68" i="18" a="1"/>
  <c r="K68" i="18" s="1"/>
  <c r="K92" i="18" a="1"/>
  <c r="K92" i="18" s="1"/>
  <c r="J63" i="18" a="1"/>
  <c r="J63" i="18" s="1"/>
  <c r="G63" i="18"/>
  <c r="J81" i="18" a="1"/>
  <c r="J81" i="18" s="1"/>
  <c r="G81" i="18"/>
  <c r="J64" i="18" a="1"/>
  <c r="J64" i="18" s="1"/>
  <c r="G64" i="18"/>
  <c r="J80" i="18" a="1"/>
  <c r="J80" i="18" s="1"/>
  <c r="G80" i="18"/>
  <c r="J96" i="18" a="1"/>
  <c r="J96" i="18" s="1"/>
  <c r="G96" i="18"/>
  <c r="J93" i="18" a="1"/>
  <c r="J93" i="18" s="1"/>
  <c r="G93" i="18"/>
  <c r="J61" i="18" a="1"/>
  <c r="J61" i="18" s="1"/>
  <c r="G61" i="18"/>
  <c r="J60" i="18" a="1"/>
  <c r="J60" i="18" s="1"/>
  <c r="G60" i="18"/>
  <c r="J75" i="18" a="1"/>
  <c r="J75" i="18" s="1"/>
  <c r="G75" i="18"/>
  <c r="J83" i="18" a="1"/>
  <c r="J83" i="18" s="1"/>
  <c r="G83" i="18"/>
  <c r="K81" i="18" a="1"/>
  <c r="K81" i="18" s="1"/>
  <c r="J85" i="18" a="1"/>
  <c r="J85" i="18" s="1"/>
  <c r="G85" i="18"/>
  <c r="K60" i="18" a="1"/>
  <c r="K60" i="18" s="1"/>
  <c r="J84" i="18" a="1"/>
  <c r="J84" i="18" s="1"/>
  <c r="G84" i="18"/>
  <c r="J100" i="18" a="1"/>
  <c r="J100" i="18" s="1"/>
  <c r="G100" i="18"/>
  <c r="J67" i="18" a="1"/>
  <c r="J67" i="18" s="1"/>
  <c r="G67" i="18"/>
  <c r="J101" i="18" a="1"/>
  <c r="J101" i="18" s="1"/>
  <c r="G101" i="18"/>
  <c r="J57" i="18" a="1"/>
  <c r="J57" i="18" s="1"/>
  <c r="G57" i="18"/>
  <c r="J97" i="18" a="1"/>
  <c r="J97" i="18" s="1"/>
  <c r="G97" i="18"/>
  <c r="J59" i="18" a="1"/>
  <c r="J59" i="18" s="1"/>
  <c r="G59" i="18"/>
  <c r="J95" i="18" a="1"/>
  <c r="J95" i="18" s="1"/>
  <c r="G95" i="18"/>
  <c r="J92" i="18" a="1"/>
  <c r="J92" i="18" s="1"/>
  <c r="G92" i="18"/>
  <c r="K64" i="18" a="1"/>
  <c r="K64" i="18" s="1"/>
  <c r="J77" i="18" a="1"/>
  <c r="J77" i="18" s="1"/>
  <c r="G77" i="18"/>
  <c r="J99" i="18" a="1"/>
  <c r="J99" i="18" s="1"/>
  <c r="G99" i="18"/>
  <c r="J69" i="18" a="1"/>
  <c r="J69" i="18" s="1"/>
  <c r="G69" i="18"/>
  <c r="J89" i="18" a="1"/>
  <c r="J89" i="18" s="1"/>
  <c r="G89" i="18"/>
  <c r="K61" i="18" a="1"/>
  <c r="K61" i="18" s="1"/>
  <c r="J76" i="18" a="1"/>
  <c r="J76" i="18" s="1"/>
  <c r="G76" i="18"/>
  <c r="K97" i="18" a="1"/>
  <c r="K97" i="18" s="1"/>
  <c r="J65" i="18" a="1"/>
  <c r="J65" i="18" s="1"/>
  <c r="G65" i="18"/>
  <c r="J56" i="18" a="1"/>
  <c r="J56" i="18" s="1"/>
  <c r="G56" i="18"/>
  <c r="K77" i="18" a="1"/>
  <c r="K77" i="18" s="1"/>
  <c r="J91" i="18" a="1"/>
  <c r="J91" i="18" s="1"/>
  <c r="G91" i="18"/>
  <c r="J73" i="18" a="1"/>
  <c r="J73" i="18" s="1"/>
  <c r="G73" i="18"/>
  <c r="J68" i="18" a="1"/>
  <c r="J68" i="18" s="1"/>
  <c r="G68" i="18"/>
  <c r="J88" i="18" a="1"/>
  <c r="J88" i="18" s="1"/>
  <c r="G88" i="18"/>
  <c r="J72" i="18" a="1"/>
  <c r="J72" i="18" s="1"/>
  <c r="G72" i="18"/>
  <c r="J87" i="18" a="1"/>
  <c r="J87" i="18" s="1"/>
  <c r="G87" i="18"/>
  <c r="J71" i="18" a="1"/>
  <c r="J71" i="18" s="1"/>
  <c r="G71" i="18"/>
  <c r="J55" i="18" a="1"/>
  <c r="J55" i="18" s="1"/>
  <c r="G55" i="18"/>
  <c r="J79" i="18" a="1"/>
  <c r="J79" i="18" s="1"/>
  <c r="G79" i="18"/>
  <c r="K80" i="18" a="1"/>
  <c r="K80" i="18" s="1"/>
  <c r="K69" i="18" a="1"/>
  <c r="K69" i="18" s="1"/>
  <c r="K96" i="18" a="1"/>
  <c r="K96" i="18" s="1"/>
  <c r="K93" i="18" a="1"/>
  <c r="K93" i="18" s="1"/>
  <c r="K55" i="18" a="1"/>
  <c r="K55" i="18" s="1"/>
  <c r="K73" i="18" a="1"/>
  <c r="K73" i="18" s="1"/>
  <c r="K84" i="18" a="1"/>
  <c r="K84" i="18" s="1"/>
  <c r="K76" i="18" a="1"/>
  <c r="K76" i="18" s="1"/>
  <c r="K72" i="18" a="1"/>
  <c r="K72" i="18" s="1"/>
  <c r="K56" i="18" a="1"/>
  <c r="K56" i="18" s="1"/>
  <c r="K85" i="18" a="1"/>
  <c r="K85" i="18" s="1"/>
  <c r="K100" i="18" a="1"/>
  <c r="K100" i="18" s="1"/>
  <c r="K101" i="18" a="1"/>
  <c r="K101" i="18" s="1"/>
  <c r="K65" i="18" a="1"/>
  <c r="K65" i="18" s="1"/>
  <c r="K57" i="18" a="1"/>
  <c r="K57" i="18" s="1"/>
  <c r="K88" i="18" a="1"/>
  <c r="K88" i="18" s="1"/>
  <c r="K89" i="18" a="1"/>
  <c r="K89" i="18" s="1"/>
  <c r="J7" i="15"/>
  <c r="J6" i="15" s="1"/>
  <c r="K75" i="18" a="1"/>
  <c r="K75" i="18" s="1"/>
  <c r="L7" i="15"/>
  <c r="L6" i="15" s="1"/>
  <c r="K83" i="18" a="1"/>
  <c r="K83" i="18" s="1"/>
  <c r="P7" i="15"/>
  <c r="P6" i="15" s="1"/>
  <c r="K99" i="18" a="1"/>
  <c r="K99" i="18" s="1"/>
  <c r="I7" i="15"/>
  <c r="I6" i="15" s="1"/>
  <c r="K71" i="18" a="1"/>
  <c r="K71" i="18" s="1"/>
  <c r="F7" i="15"/>
  <c r="F6" i="15" s="1"/>
  <c r="K59" i="18" a="1"/>
  <c r="K59" i="18" s="1"/>
  <c r="G7" i="15"/>
  <c r="G6" i="15" s="1"/>
  <c r="K63" i="18" a="1"/>
  <c r="K63" i="18" s="1"/>
  <c r="M7" i="15"/>
  <c r="M6" i="15" s="1"/>
  <c r="K87" i="18" a="1"/>
  <c r="K87" i="18" s="1"/>
  <c r="K7" i="15"/>
  <c r="K6" i="15" s="1"/>
  <c r="K79" i="18" a="1"/>
  <c r="K79" i="18" s="1"/>
  <c r="H7" i="15"/>
  <c r="H6" i="15" s="1"/>
  <c r="K67" i="18" a="1"/>
  <c r="K67" i="18" s="1"/>
  <c r="O7" i="15"/>
  <c r="O6" i="15" s="1"/>
  <c r="K95" i="18" a="1"/>
  <c r="K95" i="18" s="1"/>
  <c r="N7" i="15"/>
  <c r="N6" i="15" s="1"/>
  <c r="K91" i="18" a="1"/>
  <c r="K91" i="18" s="1"/>
  <c r="O13" i="19"/>
  <c r="D14" i="19"/>
  <c r="F14" i="19"/>
  <c r="C17" i="19" a="1"/>
  <c r="C17" i="19" s="1"/>
  <c r="E17" i="19" s="1" a="1"/>
  <c r="E17" i="19" s="1"/>
  <c r="T9" i="15"/>
  <c r="AA22" i="15"/>
  <c r="U9" i="15"/>
  <c r="AB22" i="15"/>
  <c r="S35" i="15"/>
  <c r="Y22" i="15"/>
  <c r="V9" i="15"/>
  <c r="AC22" i="15"/>
  <c r="T35" i="15"/>
  <c r="X22" i="15"/>
  <c r="W9" i="15"/>
  <c r="AD22" i="15"/>
  <c r="U35" i="15"/>
  <c r="X9" i="15"/>
  <c r="V35" i="15"/>
  <c r="Y9" i="15"/>
  <c r="W35" i="15"/>
  <c r="Z22" i="15"/>
  <c r="Z9" i="15"/>
  <c r="S22" i="15"/>
  <c r="X35" i="15"/>
  <c r="AB35" i="15"/>
  <c r="AD35" i="15"/>
  <c r="AG5" i="15"/>
  <c r="AA9" i="15"/>
  <c r="T22" i="15"/>
  <c r="Y35" i="15"/>
  <c r="S9" i="15"/>
  <c r="AB9" i="15"/>
  <c r="U22" i="15"/>
  <c r="Z35" i="15"/>
  <c r="AC9" i="15"/>
  <c r="V22" i="15"/>
  <c r="AA35" i="15"/>
  <c r="AD9" i="15"/>
  <c r="W22" i="15"/>
  <c r="AC35" i="15"/>
  <c r="Q7" i="15"/>
  <c r="Q6" i="15" s="1"/>
  <c r="P80" i="18" l="1"/>
  <c r="G16" i="19" a="1"/>
  <c r="G16" i="19" s="1"/>
  <c r="J16" i="19" a="1"/>
  <c r="J16" i="19" s="1"/>
  <c r="H16" i="19"/>
  <c r="L16" i="19" s="1" a="1"/>
  <c r="L16" i="19" s="1"/>
  <c r="P97" i="18"/>
  <c r="P79" i="18"/>
  <c r="P89" i="18"/>
  <c r="P96" i="18"/>
  <c r="P69" i="18"/>
  <c r="P87" i="18"/>
  <c r="P55" i="18"/>
  <c r="P60" i="18"/>
  <c r="P68" i="18"/>
  <c r="P57" i="18"/>
  <c r="P63" i="18"/>
  <c r="P75" i="18"/>
  <c r="P101" i="18"/>
  <c r="P93" i="18"/>
  <c r="P61" i="18"/>
  <c r="P71" i="18"/>
  <c r="P72" i="18"/>
  <c r="P83" i="18"/>
  <c r="P91" i="18"/>
  <c r="P81" i="18"/>
  <c r="P99" i="18"/>
  <c r="P65" i="18"/>
  <c r="P100" i="18"/>
  <c r="P85" i="18"/>
  <c r="P56" i="18"/>
  <c r="P77" i="18"/>
  <c r="P84" i="18"/>
  <c r="P64" i="18"/>
  <c r="P88" i="18"/>
  <c r="P59" i="18"/>
  <c r="P95" i="18"/>
  <c r="P76" i="18"/>
  <c r="P67" i="18"/>
  <c r="P73" i="18"/>
  <c r="P92" i="18"/>
  <c r="L15" i="19" a="1"/>
  <c r="L15" i="19" s="1"/>
  <c r="M14" i="19" a="1"/>
  <c r="M14" i="19" s="1"/>
  <c r="V14" i="19" s="1"/>
  <c r="F15" i="19"/>
  <c r="Y13" i="19"/>
  <c r="M63" i="18"/>
  <c r="M101" i="18"/>
  <c r="M81" i="18"/>
  <c r="M80" i="18"/>
  <c r="M75" i="18"/>
  <c r="L68" i="18"/>
  <c r="R68" i="18" s="1"/>
  <c r="L92" i="18"/>
  <c r="R92" i="18" s="1"/>
  <c r="L64" i="18"/>
  <c r="R64" i="18" s="1"/>
  <c r="M79" i="18"/>
  <c r="M68" i="18"/>
  <c r="M92" i="18"/>
  <c r="L97" i="18"/>
  <c r="R97" i="18" s="1"/>
  <c r="M99" i="18"/>
  <c r="M85" i="18"/>
  <c r="L61" i="18"/>
  <c r="R61" i="18" s="1"/>
  <c r="L81" i="18"/>
  <c r="R81" i="18" s="1"/>
  <c r="M71" i="18"/>
  <c r="M61" i="18"/>
  <c r="M100" i="18"/>
  <c r="M67" i="18"/>
  <c r="M60" i="18"/>
  <c r="M56" i="18"/>
  <c r="M95" i="18"/>
  <c r="M72" i="18"/>
  <c r="M83" i="18"/>
  <c r="M73" i="18"/>
  <c r="M77" i="18"/>
  <c r="M87" i="18"/>
  <c r="M76" i="18"/>
  <c r="M84" i="18"/>
  <c r="M93" i="18"/>
  <c r="M88" i="18"/>
  <c r="M96" i="18"/>
  <c r="M57" i="18"/>
  <c r="L77" i="18"/>
  <c r="R77" i="18" s="1"/>
  <c r="L80" i="18"/>
  <c r="R80" i="18" s="1"/>
  <c r="M69" i="18"/>
  <c r="M59" i="18"/>
  <c r="M65" i="18"/>
  <c r="L60" i="18"/>
  <c r="R60" i="18" s="1"/>
  <c r="M64" i="18"/>
  <c r="M89" i="18"/>
  <c r="M91" i="18"/>
  <c r="M97" i="18"/>
  <c r="M55" i="18"/>
  <c r="L79" i="18"/>
  <c r="R79" i="18" s="1"/>
  <c r="L71" i="18"/>
  <c r="R71" i="18" s="1"/>
  <c r="L76" i="18"/>
  <c r="R76" i="18" s="1"/>
  <c r="L84" i="18"/>
  <c r="R84" i="18" s="1"/>
  <c r="L73" i="18"/>
  <c r="R73" i="18" s="1"/>
  <c r="L87" i="18"/>
  <c r="R87" i="18" s="1"/>
  <c r="L89" i="18"/>
  <c r="R89" i="18" s="1"/>
  <c r="L93" i="18"/>
  <c r="R93" i="18" s="1"/>
  <c r="L101" i="18"/>
  <c r="R101" i="18" s="1"/>
  <c r="L100" i="18"/>
  <c r="R100" i="18" s="1"/>
  <c r="L85" i="18"/>
  <c r="R85" i="18" s="1"/>
  <c r="L99" i="18"/>
  <c r="R99" i="18" s="1"/>
  <c r="L72" i="18"/>
  <c r="R72" i="18" s="1"/>
  <c r="L67" i="18"/>
  <c r="R67" i="18" s="1"/>
  <c r="L75" i="18"/>
  <c r="R75" i="18" s="1"/>
  <c r="L88" i="18"/>
  <c r="R88" i="18" s="1"/>
  <c r="L96" i="18"/>
  <c r="R96" i="18" s="1"/>
  <c r="L91" i="18"/>
  <c r="R91" i="18" s="1"/>
  <c r="L95" i="18"/>
  <c r="R95" i="18" s="1"/>
  <c r="L83" i="18"/>
  <c r="R83" i="18" s="1"/>
  <c r="L63" i="18"/>
  <c r="R63" i="18" s="1"/>
  <c r="L69" i="18"/>
  <c r="R69" i="18" s="1"/>
  <c r="L59" i="18"/>
  <c r="R59" i="18" s="1"/>
  <c r="L65" i="18"/>
  <c r="R65" i="18" s="1"/>
  <c r="L57" i="18"/>
  <c r="L56" i="18"/>
  <c r="L55" i="18"/>
  <c r="N14" i="19" a="1"/>
  <c r="N14" i="19" s="1"/>
  <c r="J17" i="19" a="1"/>
  <c r="J17" i="19" s="1"/>
  <c r="G17" i="19" a="1"/>
  <c r="G17" i="19" s="1"/>
  <c r="H17" i="19"/>
  <c r="L17" i="19" s="1" a="1"/>
  <c r="L17" i="19" s="1"/>
  <c r="F16" i="19"/>
  <c r="D15" i="19"/>
  <c r="I14" i="19" a="1"/>
  <c r="I14" i="19" s="1"/>
  <c r="K14" i="19" s="1" a="1"/>
  <c r="K14" i="19" s="1"/>
  <c r="C18" i="19" a="1"/>
  <c r="C18" i="19" s="1"/>
  <c r="E18" i="19" s="1" a="1"/>
  <c r="E18" i="19" s="1"/>
  <c r="AU5" i="15"/>
  <c r="AG9" i="15"/>
  <c r="AH22" i="15"/>
  <c r="AP35" i="15"/>
  <c r="AR9" i="15"/>
  <c r="AH9" i="15"/>
  <c r="AI22" i="15"/>
  <c r="AQ35" i="15"/>
  <c r="AI9" i="15"/>
  <c r="AJ22" i="15"/>
  <c r="AR35" i="15"/>
  <c r="AM35" i="15"/>
  <c r="AN35" i="15"/>
  <c r="AO35" i="15"/>
  <c r="AJ9" i="15"/>
  <c r="AK22" i="15"/>
  <c r="AG22" i="15"/>
  <c r="AK9" i="15"/>
  <c r="AL22" i="15"/>
  <c r="AL9" i="15"/>
  <c r="AM22" i="15"/>
  <c r="AG35" i="15"/>
  <c r="AM9" i="15"/>
  <c r="AN22" i="15"/>
  <c r="AH35" i="15"/>
  <c r="AN9" i="15"/>
  <c r="AO22" i="15"/>
  <c r="AI35" i="15"/>
  <c r="AO9" i="15"/>
  <c r="AP22" i="15"/>
  <c r="AJ35" i="15"/>
  <c r="AP9" i="15"/>
  <c r="AQ22" i="15"/>
  <c r="AK35" i="15"/>
  <c r="AQ9" i="15"/>
  <c r="AR22" i="15"/>
  <c r="AL35" i="15"/>
  <c r="Q89" i="18" l="1"/>
  <c r="Q63" i="18"/>
  <c r="Q96" i="18"/>
  <c r="Q88" i="18"/>
  <c r="Q79" i="18"/>
  <c r="Q67" i="18"/>
  <c r="Q72" i="18"/>
  <c r="Q99" i="18"/>
  <c r="Q85" i="18"/>
  <c r="Q95" i="18"/>
  <c r="Q75" i="18"/>
  <c r="Q65" i="18"/>
  <c r="Q87" i="18"/>
  <c r="Q73" i="18"/>
  <c r="Q91" i="18"/>
  <c r="Q84" i="18"/>
  <c r="Q83" i="18"/>
  <c r="Q76" i="18"/>
  <c r="Q71" i="18"/>
  <c r="Q100" i="18"/>
  <c r="Q59" i="18"/>
  <c r="Q101" i="18"/>
  <c r="Q69" i="18"/>
  <c r="Q93" i="18"/>
  <c r="Q77" i="18"/>
  <c r="Q92" i="18"/>
  <c r="Q64" i="18"/>
  <c r="Q61" i="18"/>
  <c r="Q80" i="18"/>
  <c r="Q81" i="18"/>
  <c r="Q60" i="18"/>
  <c r="Q97" i="18"/>
  <c r="Q68" i="18"/>
  <c r="Q56" i="18"/>
  <c r="R56" i="18"/>
  <c r="Q57" i="18"/>
  <c r="R57" i="18"/>
  <c r="O81" i="18"/>
  <c r="N61" i="18"/>
  <c r="N80" i="18"/>
  <c r="N77" i="18"/>
  <c r="N64" i="18"/>
  <c r="O92" i="18"/>
  <c r="O68" i="18"/>
  <c r="N60" i="18"/>
  <c r="N97" i="18"/>
  <c r="M15" i="19" a="1"/>
  <c r="M15" i="19" s="1"/>
  <c r="V15" i="19" s="1"/>
  <c r="T14" i="19"/>
  <c r="O97" i="18"/>
  <c r="N92" i="18"/>
  <c r="N68" i="18"/>
  <c r="O64" i="18"/>
  <c r="O61" i="18"/>
  <c r="N81" i="18"/>
  <c r="O80" i="18"/>
  <c r="O60" i="18"/>
  <c r="O77" i="18"/>
  <c r="Q55" i="18"/>
  <c r="R55" i="18"/>
  <c r="O65" i="18"/>
  <c r="N65" i="18"/>
  <c r="O83" i="18"/>
  <c r="N83" i="18"/>
  <c r="O100" i="18"/>
  <c r="N100" i="18"/>
  <c r="O69" i="18"/>
  <c r="N69" i="18"/>
  <c r="N63" i="18"/>
  <c r="O63" i="18"/>
  <c r="N89" i="18"/>
  <c r="O89" i="18"/>
  <c r="O84" i="18"/>
  <c r="N84" i="18"/>
  <c r="O79" i="18"/>
  <c r="N79" i="18"/>
  <c r="N85" i="18"/>
  <c r="O85" i="18"/>
  <c r="N59" i="18"/>
  <c r="O59" i="18"/>
  <c r="O101" i="18"/>
  <c r="N101" i="18"/>
  <c r="N93" i="18"/>
  <c r="O93" i="18"/>
  <c r="O87" i="18"/>
  <c r="N87" i="18"/>
  <c r="N95" i="18"/>
  <c r="O95" i="18"/>
  <c r="N73" i="18"/>
  <c r="O73" i="18"/>
  <c r="N91" i="18"/>
  <c r="O91" i="18"/>
  <c r="N96" i="18"/>
  <c r="O96" i="18"/>
  <c r="N76" i="18"/>
  <c r="O76" i="18"/>
  <c r="N88" i="18"/>
  <c r="O88" i="18"/>
  <c r="N71" i="18"/>
  <c r="O71" i="18"/>
  <c r="N75" i="18"/>
  <c r="O75" i="18"/>
  <c r="N67" i="18"/>
  <c r="O67" i="18"/>
  <c r="N72" i="18"/>
  <c r="O72" i="18"/>
  <c r="N99" i="18"/>
  <c r="O99" i="18"/>
  <c r="N57" i="18"/>
  <c r="O57" i="18"/>
  <c r="N56" i="18"/>
  <c r="O56" i="18"/>
  <c r="N55" i="18"/>
  <c r="O55" i="18"/>
  <c r="O14" i="19"/>
  <c r="Q14" i="19"/>
  <c r="N15" i="19" a="1"/>
  <c r="N15" i="19" s="1"/>
  <c r="D16" i="19"/>
  <c r="N16" i="19" s="1" a="1"/>
  <c r="N16" i="19" s="1"/>
  <c r="I15" i="19" a="1"/>
  <c r="I15" i="19" s="1"/>
  <c r="K15" i="19" s="1" a="1"/>
  <c r="K15" i="19" s="1"/>
  <c r="J18" i="19" a="1"/>
  <c r="J18" i="19" s="1"/>
  <c r="G18" i="19" a="1"/>
  <c r="G18" i="19" s="1"/>
  <c r="H18" i="19"/>
  <c r="L18" i="19" s="1" a="1"/>
  <c r="L18" i="19" s="1"/>
  <c r="F17" i="19"/>
  <c r="C19" i="19" a="1"/>
  <c r="C19" i="19" s="1"/>
  <c r="E19" i="19" s="1" a="1"/>
  <c r="E19" i="19" s="1"/>
  <c r="BA9" i="15"/>
  <c r="AW22" i="15"/>
  <c r="BE35" i="15"/>
  <c r="AW9" i="15"/>
  <c r="BD35" i="15"/>
  <c r="BE9" i="15"/>
  <c r="AX22" i="15"/>
  <c r="BF35" i="15"/>
  <c r="AY22" i="15"/>
  <c r="AU22" i="15"/>
  <c r="AZ22" i="15"/>
  <c r="BA22" i="15"/>
  <c r="AU35" i="15"/>
  <c r="BB22" i="15"/>
  <c r="AV35" i="15"/>
  <c r="AV22" i="15"/>
  <c r="BC22" i="15"/>
  <c r="AW35" i="15"/>
  <c r="BC35" i="15"/>
  <c r="BD22" i="15"/>
  <c r="AX35" i="15"/>
  <c r="BE22" i="15"/>
  <c r="AY35" i="15"/>
  <c r="BF22" i="15"/>
  <c r="AZ35" i="15"/>
  <c r="BA35" i="15"/>
  <c r="BB35" i="15"/>
  <c r="BF9" i="15"/>
  <c r="AX9" i="15"/>
  <c r="BB9" i="15"/>
  <c r="AU9" i="15"/>
  <c r="AY9" i="15"/>
  <c r="AZ9" i="15"/>
  <c r="BC9" i="15"/>
  <c r="BI5" i="15"/>
  <c r="AV9" i="15"/>
  <c r="BD9" i="15"/>
  <c r="R14" i="19"/>
  <c r="Q15" i="19" l="1"/>
  <c r="M16" i="19" a="1"/>
  <c r="M16" i="19" s="1"/>
  <c r="V16" i="19" s="1"/>
  <c r="T15" i="19"/>
  <c r="O15" i="19"/>
  <c r="J19" i="19" a="1"/>
  <c r="J19" i="19" s="1"/>
  <c r="H19" i="19"/>
  <c r="L19" i="19" s="1" a="1"/>
  <c r="L19" i="19" s="1"/>
  <c r="G19" i="19" a="1"/>
  <c r="G19" i="19" s="1"/>
  <c r="F18" i="19"/>
  <c r="D17" i="19"/>
  <c r="M17" i="19" s="1" a="1"/>
  <c r="M17" i="19" s="1"/>
  <c r="V17" i="19" s="1"/>
  <c r="I16" i="19" a="1"/>
  <c r="I16" i="19" s="1"/>
  <c r="K16" i="19" s="1" a="1"/>
  <c r="K16" i="19" s="1"/>
  <c r="C20" i="19" a="1"/>
  <c r="C20" i="19" s="1"/>
  <c r="E20" i="19" s="1" a="1"/>
  <c r="E20" i="19" s="1"/>
  <c r="BT22" i="15"/>
  <c r="BR35" i="15"/>
  <c r="BW5" i="15"/>
  <c r="BM35" i="15"/>
  <c r="BJ9" i="15"/>
  <c r="BS35" i="15"/>
  <c r="BO9" i="15"/>
  <c r="BK9" i="15"/>
  <c r="BN9" i="15"/>
  <c r="BR9" i="15"/>
  <c r="BS9" i="15"/>
  <c r="BN22" i="15"/>
  <c r="BI35" i="15"/>
  <c r="BL9" i="15"/>
  <c r="BR22" i="15"/>
  <c r="BO35" i="15"/>
  <c r="BP9" i="15"/>
  <c r="BI22" i="15"/>
  <c r="BT35" i="15"/>
  <c r="BL35" i="15"/>
  <c r="BI9" i="15"/>
  <c r="BK22" i="15"/>
  <c r="BQ35" i="15"/>
  <c r="BM9" i="15"/>
  <c r="BS22" i="15"/>
  <c r="BK35" i="15"/>
  <c r="BQ9" i="15"/>
  <c r="BM22" i="15"/>
  <c r="BP35" i="15"/>
  <c r="BL22" i="15"/>
  <c r="BJ35" i="15"/>
  <c r="BJ22" i="15"/>
  <c r="BO22" i="15"/>
  <c r="BT9" i="15"/>
  <c r="BQ22" i="15"/>
  <c r="BP22" i="15"/>
  <c r="BN35" i="15"/>
  <c r="R15" i="19"/>
  <c r="K19" i="19" l="1" a="1"/>
  <c r="K19" i="19" s="1"/>
  <c r="T16" i="19"/>
  <c r="V18" i="19"/>
  <c r="U18" i="19"/>
  <c r="M18" i="19" a="1"/>
  <c r="M18" i="19" s="1"/>
  <c r="X18" i="19"/>
  <c r="W18" i="19"/>
  <c r="T18" i="19"/>
  <c r="AB19" i="19"/>
  <c r="AC19" i="19"/>
  <c r="AD19" i="19"/>
  <c r="Q16" i="19"/>
  <c r="P18" i="19"/>
  <c r="Q18" i="19"/>
  <c r="R18" i="19"/>
  <c r="N18" i="19" a="1"/>
  <c r="N18" i="19" s="1"/>
  <c r="S18" i="19"/>
  <c r="O16" i="19"/>
  <c r="N17" i="19" a="1"/>
  <c r="N17" i="19" s="1"/>
  <c r="T17" i="19" s="1"/>
  <c r="Z19" i="19"/>
  <c r="AA19" i="19"/>
  <c r="Y19" i="19"/>
  <c r="O18" i="19"/>
  <c r="G20" i="19" a="1"/>
  <c r="G20" i="19" s="1"/>
  <c r="J20" i="19" a="1"/>
  <c r="J20" i="19" s="1"/>
  <c r="H20" i="19"/>
  <c r="L20" i="19" s="1" a="1"/>
  <c r="L20" i="19" s="1"/>
  <c r="F19" i="19"/>
  <c r="D19" i="19"/>
  <c r="I19" i="19" s="1" a="1"/>
  <c r="I19" i="19" s="1"/>
  <c r="D18" i="19"/>
  <c r="I18" i="19" s="1" a="1"/>
  <c r="I18" i="19" s="1"/>
  <c r="K18" i="19" s="1" a="1"/>
  <c r="K18" i="19" s="1"/>
  <c r="I17" i="19" a="1"/>
  <c r="I17" i="19" s="1"/>
  <c r="K17" i="19" s="1" a="1"/>
  <c r="K17" i="19" s="1"/>
  <c r="C21" i="19" a="1"/>
  <c r="C21" i="19" s="1"/>
  <c r="E21" i="19" s="1" a="1"/>
  <c r="E21" i="19" s="1"/>
  <c r="CC9" i="15"/>
  <c r="CH22" i="15"/>
  <c r="CC35" i="15"/>
  <c r="CE35" i="15"/>
  <c r="CG9" i="15"/>
  <c r="CE9" i="15"/>
  <c r="CH35" i="15"/>
  <c r="BZ9" i="15"/>
  <c r="CB22" i="15"/>
  <c r="CB35" i="15"/>
  <c r="CA35" i="15"/>
  <c r="CC22" i="15"/>
  <c r="CF35" i="15"/>
  <c r="CD9" i="15"/>
  <c r="CD22" i="15"/>
  <c r="CG35" i="15"/>
  <c r="CH9" i="15"/>
  <c r="BW35" i="15"/>
  <c r="BY22" i="15"/>
  <c r="CG22" i="15"/>
  <c r="CF22" i="15"/>
  <c r="BW9" i="15"/>
  <c r="BY35" i="15"/>
  <c r="BX22" i="15"/>
  <c r="CB9" i="15"/>
  <c r="BX35" i="15"/>
  <c r="BY9" i="15"/>
  <c r="BZ22" i="15"/>
  <c r="CK5" i="15"/>
  <c r="CA9" i="15"/>
  <c r="CD35" i="15"/>
  <c r="BX9" i="15"/>
  <c r="BW22" i="15"/>
  <c r="CA22" i="15"/>
  <c r="CF9" i="15"/>
  <c r="CE22" i="15"/>
  <c r="BZ35" i="15"/>
  <c r="P16" i="19"/>
  <c r="P15" i="19"/>
  <c r="R16" i="19"/>
  <c r="P14" i="19"/>
  <c r="K20" i="19" l="1" a="1"/>
  <c r="K20" i="19" s="1"/>
  <c r="X19" i="19"/>
  <c r="W19" i="19"/>
  <c r="M19" i="19" a="1"/>
  <c r="M19" i="19" s="1"/>
  <c r="U19" i="19"/>
  <c r="V19" i="19"/>
  <c r="T19" i="19"/>
  <c r="O17" i="19"/>
  <c r="Q17" i="19"/>
  <c r="AD20" i="19"/>
  <c r="AB20" i="19"/>
  <c r="AC20" i="19"/>
  <c r="S14" i="19"/>
  <c r="S15" i="19"/>
  <c r="S16" i="19"/>
  <c r="P19" i="19"/>
  <c r="Q19" i="19"/>
  <c r="R19" i="19"/>
  <c r="N19" i="19" a="1"/>
  <c r="N19" i="19" s="1"/>
  <c r="S19" i="19"/>
  <c r="Z20" i="19"/>
  <c r="AA20" i="19"/>
  <c r="O19" i="19"/>
  <c r="G21" i="19" a="1"/>
  <c r="G21" i="19" s="1"/>
  <c r="H21" i="19"/>
  <c r="L21" i="19" s="1" a="1"/>
  <c r="L21" i="19" s="1"/>
  <c r="J21" i="19" a="1"/>
  <c r="J21" i="19" s="1"/>
  <c r="F20" i="19"/>
  <c r="D20" i="19"/>
  <c r="I20" i="19" s="1" a="1"/>
  <c r="I20" i="19" s="1"/>
  <c r="C22" i="19" a="1"/>
  <c r="C22" i="19" s="1"/>
  <c r="E22" i="19" s="1" a="1"/>
  <c r="E22" i="19" s="1"/>
  <c r="CP9" i="15"/>
  <c r="CQ22" i="15"/>
  <c r="CS35" i="15"/>
  <c r="CK22" i="15"/>
  <c r="CL22" i="15"/>
  <c r="CO35" i="15"/>
  <c r="CM35" i="15"/>
  <c r="CN22" i="15"/>
  <c r="CO22" i="15"/>
  <c r="CT9" i="15"/>
  <c r="CM22" i="15"/>
  <c r="CM9" i="15"/>
  <c r="CS22" i="15"/>
  <c r="CL35" i="15"/>
  <c r="CN35" i="15"/>
  <c r="CU9" i="15"/>
  <c r="CV22" i="15"/>
  <c r="CL9" i="15"/>
  <c r="CQ9" i="15"/>
  <c r="CQ35" i="15"/>
  <c r="CR35" i="15"/>
  <c r="CN9" i="15"/>
  <c r="CO9" i="15"/>
  <c r="CS9" i="15"/>
  <c r="CT22" i="15"/>
  <c r="CT35" i="15"/>
  <c r="CK9" i="15"/>
  <c r="CY5" i="15"/>
  <c r="CV35" i="15"/>
  <c r="CP22" i="15"/>
  <c r="CV9" i="15"/>
  <c r="CR9" i="15"/>
  <c r="CU35" i="15"/>
  <c r="CK35" i="15"/>
  <c r="CR22" i="15"/>
  <c r="CU22" i="15"/>
  <c r="CP35" i="15"/>
  <c r="P17" i="19"/>
  <c r="R17" i="19"/>
  <c r="X20" i="19" l="1"/>
  <c r="U20" i="19"/>
  <c r="V20" i="19"/>
  <c r="M20" i="19" a="1"/>
  <c r="M20" i="19" s="1"/>
  <c r="W20" i="19"/>
  <c r="T20" i="19"/>
  <c r="S17" i="19"/>
  <c r="P20" i="19"/>
  <c r="Q20" i="19"/>
  <c r="R20" i="19"/>
  <c r="S20" i="19"/>
  <c r="N20" i="19" a="1"/>
  <c r="N20" i="19" s="1"/>
  <c r="O20" i="19"/>
  <c r="G22" i="19" a="1"/>
  <c r="G22" i="19" s="1"/>
  <c r="H22" i="19"/>
  <c r="J22" i="19" a="1"/>
  <c r="J22" i="19" s="1"/>
  <c r="F21" i="19"/>
  <c r="D21" i="19"/>
  <c r="I21" i="19" s="1" a="1"/>
  <c r="I21" i="19" s="1"/>
  <c r="K21" i="19" s="1" a="1"/>
  <c r="K21" i="19" s="1"/>
  <c r="C23" i="19" a="1"/>
  <c r="C23" i="19" s="1"/>
  <c r="E23" i="19" s="1" a="1"/>
  <c r="E23" i="19" s="1"/>
  <c r="DG9" i="15"/>
  <c r="CZ22" i="15"/>
  <c r="DD35" i="15"/>
  <c r="DH22" i="15"/>
  <c r="DC35" i="15"/>
  <c r="DD9" i="15"/>
  <c r="DH35" i="15"/>
  <c r="DJ22" i="15"/>
  <c r="CY22" i="15"/>
  <c r="DG22" i="15"/>
  <c r="DF35" i="15"/>
  <c r="DD22" i="15"/>
  <c r="CY9" i="15"/>
  <c r="CZ9" i="15"/>
  <c r="DB22" i="15"/>
  <c r="DH9" i="15"/>
  <c r="DA35" i="15"/>
  <c r="DI35" i="15"/>
  <c r="DB35" i="15"/>
  <c r="DC9" i="15"/>
  <c r="DG35" i="15"/>
  <c r="CZ35" i="15"/>
  <c r="DE9" i="15"/>
  <c r="DI22" i="15"/>
  <c r="DE35" i="15"/>
  <c r="DA9" i="15"/>
  <c r="DE22" i="15"/>
  <c r="DJ9" i="15"/>
  <c r="DC22" i="15"/>
  <c r="DB9" i="15"/>
  <c r="CY35" i="15"/>
  <c r="DF9" i="15"/>
  <c r="DJ35" i="15"/>
  <c r="DI9" i="15"/>
  <c r="DA22" i="15"/>
  <c r="DF22" i="15"/>
  <c r="U16" i="19"/>
  <c r="U15" i="19"/>
  <c r="U14" i="19"/>
  <c r="L22" i="19" l="1" a="1"/>
  <c r="L22" i="19" s="1"/>
  <c r="M21" i="19" a="1"/>
  <c r="M21" i="19" s="1"/>
  <c r="V21" i="19" s="1"/>
  <c r="H23" i="19"/>
  <c r="L23" i="19" s="1" a="1"/>
  <c r="L23" i="19" s="1"/>
  <c r="G23" i="19" a="1"/>
  <c r="G23" i="19" s="1"/>
  <c r="J23" i="19" a="1"/>
  <c r="J23" i="19" s="1"/>
  <c r="F22" i="19"/>
  <c r="D22" i="19"/>
  <c r="I22" i="19" s="1" a="1"/>
  <c r="I22" i="19" s="1"/>
  <c r="K22" i="19" s="1" a="1"/>
  <c r="K22" i="19" s="1"/>
  <c r="C24" i="19" a="1"/>
  <c r="C24" i="19" s="1"/>
  <c r="E24" i="19" s="1" a="1"/>
  <c r="E24" i="19" s="1"/>
  <c r="W14" i="19"/>
  <c r="W16" i="19"/>
  <c r="U17" i="19"/>
  <c r="W15" i="19"/>
  <c r="M22" i="19" l="1" a="1"/>
  <c r="M22" i="19" s="1"/>
  <c r="V22" i="19" s="1"/>
  <c r="X15" i="19"/>
  <c r="X14" i="19"/>
  <c r="X16" i="19"/>
  <c r="H24" i="19"/>
  <c r="L24" i="19" s="1" a="1"/>
  <c r="L24" i="19" s="1"/>
  <c r="J24" i="19" a="1"/>
  <c r="J24" i="19" s="1"/>
  <c r="G24" i="19" a="1"/>
  <c r="G24" i="19" s="1"/>
  <c r="F23" i="19"/>
  <c r="D23" i="19"/>
  <c r="I23" i="19" s="1" a="1"/>
  <c r="I23" i="19" s="1"/>
  <c r="K23" i="19" s="1" a="1"/>
  <c r="K23" i="19" s="1"/>
  <c r="C25" i="19" a="1"/>
  <c r="C25" i="19" s="1"/>
  <c r="E25" i="19" s="1" a="1"/>
  <c r="E25" i="19" s="1"/>
  <c r="W17" i="19"/>
  <c r="M23" i="19" l="1" a="1"/>
  <c r="M23" i="19" s="1"/>
  <c r="V23" i="19" s="1"/>
  <c r="X17" i="19"/>
  <c r="H25" i="19"/>
  <c r="L25" i="19" s="1" a="1"/>
  <c r="L25" i="19" s="1"/>
  <c r="J25" i="19" a="1"/>
  <c r="J25" i="19" s="1"/>
  <c r="G25" i="19" a="1"/>
  <c r="G25" i="19" s="1"/>
  <c r="F24" i="19"/>
  <c r="D24" i="19"/>
  <c r="I24" i="19" s="1" a="1"/>
  <c r="I24" i="19" s="1"/>
  <c r="K24" i="19" s="1" a="1"/>
  <c r="K24" i="19" s="1"/>
  <c r="C26" i="19" a="1"/>
  <c r="C26" i="19" s="1"/>
  <c r="E26" i="19" s="1" a="1"/>
  <c r="E26" i="19" s="1"/>
  <c r="F41" i="18" l="1" a="1"/>
  <c r="F41" i="18" s="1"/>
  <c r="M24" i="19" a="1"/>
  <c r="M24" i="19" s="1"/>
  <c r="V24" i="19" s="1"/>
  <c r="Z18" i="19"/>
  <c r="Y18" i="19"/>
  <c r="AA18" i="19"/>
  <c r="Y20" i="19"/>
  <c r="H26" i="19"/>
  <c r="L26" i="19" s="1" a="1"/>
  <c r="L26" i="19" s="1"/>
  <c r="J26" i="19" a="1"/>
  <c r="J26" i="19" s="1"/>
  <c r="G26" i="19" a="1"/>
  <c r="G26" i="19" s="1"/>
  <c r="D25" i="19"/>
  <c r="I25" i="19" s="1" a="1"/>
  <c r="I25" i="19" s="1"/>
  <c r="K25" i="19" s="1" a="1"/>
  <c r="K25" i="19" s="1"/>
  <c r="F25" i="19"/>
  <c r="C27" i="19" a="1"/>
  <c r="C27" i="19" s="1"/>
  <c r="E27" i="19" s="1" a="1"/>
  <c r="E27" i="19" s="1"/>
  <c r="M25" i="19" l="1" a="1"/>
  <c r="M25" i="19" s="1"/>
  <c r="V25" i="19" s="1"/>
  <c r="AJ22" i="19"/>
  <c r="AD18" i="19"/>
  <c r="AB18" i="19"/>
  <c r="AC18" i="19"/>
  <c r="H27" i="19"/>
  <c r="L27" i="19" s="1" a="1"/>
  <c r="L27" i="19" s="1"/>
  <c r="J27" i="19" a="1"/>
  <c r="J27" i="19" s="1"/>
  <c r="G27" i="19" a="1"/>
  <c r="G27" i="19" s="1"/>
  <c r="D26" i="19"/>
  <c r="I26" i="19" s="1" a="1"/>
  <c r="I26" i="19" s="1"/>
  <c r="K26" i="19" s="1" a="1"/>
  <c r="K26" i="19" s="1"/>
  <c r="F26" i="19"/>
  <c r="C28" i="19" a="1"/>
  <c r="C28" i="19" s="1"/>
  <c r="E28" i="19" s="1" a="1"/>
  <c r="E28" i="19" s="1"/>
  <c r="M26" i="19" l="1" a="1"/>
  <c r="M26" i="19" s="1"/>
  <c r="V26" i="19" s="1"/>
  <c r="H28" i="19"/>
  <c r="L28" i="19" s="1" a="1"/>
  <c r="L28" i="19" s="1"/>
  <c r="J28" i="19" a="1"/>
  <c r="J28" i="19" s="1"/>
  <c r="G28" i="19" a="1"/>
  <c r="G28" i="19" s="1"/>
  <c r="D27" i="19"/>
  <c r="I27" i="19" s="1" a="1"/>
  <c r="I27" i="19" s="1"/>
  <c r="K27" i="19" s="1" a="1"/>
  <c r="K27" i="19" s="1"/>
  <c r="F27" i="19"/>
  <c r="C29" i="19" a="1"/>
  <c r="C29" i="19" s="1"/>
  <c r="E29" i="19" s="1" a="1"/>
  <c r="E29" i="19" s="1"/>
  <c r="M27" i="19" l="1" a="1"/>
  <c r="M27" i="19" s="1"/>
  <c r="V27" i="19" s="1"/>
  <c r="G29" i="19" a="1"/>
  <c r="G29" i="19" s="1"/>
  <c r="H29" i="19"/>
  <c r="L29" i="19" s="1" a="1"/>
  <c r="L29" i="19" s="1"/>
  <c r="J29" i="19" a="1"/>
  <c r="J29" i="19" s="1"/>
  <c r="D28" i="19"/>
  <c r="F28" i="19"/>
  <c r="C30" i="19" a="1"/>
  <c r="C30" i="19" s="1"/>
  <c r="M28" i="19" l="1" a="1"/>
  <c r="M28" i="19" s="1"/>
  <c r="V28" i="19" s="1"/>
  <c r="N21" i="19" a="1"/>
  <c r="N21" i="19" s="1"/>
  <c r="T21" i="19" s="1"/>
  <c r="E30" i="19" a="1"/>
  <c r="E30" i="19" s="1"/>
  <c r="N23" i="19" a="1"/>
  <c r="N23" i="19" s="1"/>
  <c r="T23" i="19" s="1"/>
  <c r="N25" i="19" a="1"/>
  <c r="N25" i="19" s="1"/>
  <c r="T25" i="19" s="1"/>
  <c r="N22" i="19" a="1"/>
  <c r="N22" i="19" s="1"/>
  <c r="N27" i="19" a="1"/>
  <c r="N27" i="19" s="1"/>
  <c r="T27" i="19" s="1"/>
  <c r="N24" i="19" a="1"/>
  <c r="N24" i="19" s="1"/>
  <c r="N26" i="19" a="1"/>
  <c r="N26" i="19" s="1"/>
  <c r="T26" i="19" s="1"/>
  <c r="D29" i="19"/>
  <c r="I28" i="19" a="1"/>
  <c r="I28" i="19" s="1"/>
  <c r="K28" i="19" s="1" a="1"/>
  <c r="K28" i="19" s="1"/>
  <c r="G30" i="19" a="1"/>
  <c r="G30" i="19" s="1"/>
  <c r="H30" i="19"/>
  <c r="J30" i="19" a="1"/>
  <c r="J30" i="19" s="1"/>
  <c r="F29" i="19"/>
  <c r="C31" i="19" a="1"/>
  <c r="C31" i="19" s="1"/>
  <c r="L30" i="19" l="1" a="1"/>
  <c r="L30" i="19" s="1"/>
  <c r="M29" i="19" a="1"/>
  <c r="M29" i="19" s="1"/>
  <c r="V29" i="19" s="1"/>
  <c r="O21" i="19"/>
  <c r="Q21" i="19"/>
  <c r="Q24" i="19"/>
  <c r="T24" i="19"/>
  <c r="N28" i="19" a="1"/>
  <c r="N28" i="19" s="1"/>
  <c r="T28" i="19" s="1"/>
  <c r="E31" i="19" a="1"/>
  <c r="E31" i="19" s="1"/>
  <c r="K31" i="19" s="1" a="1"/>
  <c r="K31" i="19" s="1"/>
  <c r="O22" i="19"/>
  <c r="T22" i="19"/>
  <c r="O27" i="19"/>
  <c r="Q27" i="19"/>
  <c r="Q22" i="19"/>
  <c r="Q26" i="19"/>
  <c r="O26" i="19"/>
  <c r="Q25" i="19"/>
  <c r="O25" i="19"/>
  <c r="O23" i="19"/>
  <c r="Q23" i="19"/>
  <c r="O24" i="19"/>
  <c r="G31" i="19" a="1"/>
  <c r="G31" i="19" s="1"/>
  <c r="H31" i="19"/>
  <c r="J31" i="19" a="1"/>
  <c r="J31" i="19" s="1"/>
  <c r="F30" i="19"/>
  <c r="D30" i="19"/>
  <c r="I29" i="19" a="1"/>
  <c r="I29" i="19" s="1"/>
  <c r="K29" i="19" s="1" a="1"/>
  <c r="K29" i="19" s="1"/>
  <c r="C32" i="19" a="1"/>
  <c r="C32" i="19" s="1"/>
  <c r="R23" i="19"/>
  <c r="R24" i="19"/>
  <c r="R21" i="19"/>
  <c r="R22" i="19"/>
  <c r="R27" i="19"/>
  <c r="R25" i="19"/>
  <c r="R26" i="19"/>
  <c r="M30" i="19" l="1" a="1"/>
  <c r="M30" i="19" s="1"/>
  <c r="V30" i="19" s="1"/>
  <c r="L31" i="19" a="1"/>
  <c r="L31" i="19" s="1"/>
  <c r="O28" i="19"/>
  <c r="Q28" i="19"/>
  <c r="N29" i="19" a="1"/>
  <c r="N29" i="19" s="1"/>
  <c r="T29" i="19" s="1"/>
  <c r="E32" i="19" a="1"/>
  <c r="E32" i="19" s="1"/>
  <c r="J32" i="19" a="1"/>
  <c r="J32" i="19" s="1"/>
  <c r="G32" i="19" a="1"/>
  <c r="G32" i="19" s="1"/>
  <c r="H32" i="19"/>
  <c r="D31" i="19"/>
  <c r="I30" i="19" a="1"/>
  <c r="I30" i="19" s="1"/>
  <c r="K30" i="19" s="1" a="1"/>
  <c r="K30" i="19" s="1"/>
  <c r="F31" i="19"/>
  <c r="C33" i="19" a="1"/>
  <c r="C33" i="19" s="1"/>
  <c r="E33" i="19" s="1" a="1"/>
  <c r="E33" i="19" s="1"/>
  <c r="R28" i="19"/>
  <c r="P25" i="19"/>
  <c r="P26" i="19"/>
  <c r="P23" i="19"/>
  <c r="P21" i="19"/>
  <c r="P27" i="19"/>
  <c r="P22" i="19"/>
  <c r="P24" i="19"/>
  <c r="K32" i="19" l="1" a="1"/>
  <c r="K32" i="19" s="1"/>
  <c r="L32" i="19" a="1"/>
  <c r="L32" i="19" s="1"/>
  <c r="M31" i="19" a="1"/>
  <c r="M31" i="19" s="1"/>
  <c r="V31" i="19"/>
  <c r="X31" i="19"/>
  <c r="U31" i="19"/>
  <c r="W31" i="19"/>
  <c r="Q29" i="19"/>
  <c r="O29" i="19"/>
  <c r="T31" i="19"/>
  <c r="S27" i="19"/>
  <c r="S21" i="19"/>
  <c r="S25" i="19"/>
  <c r="S23" i="19"/>
  <c r="S24" i="19"/>
  <c r="S22" i="19"/>
  <c r="S26" i="19"/>
  <c r="D32" i="19"/>
  <c r="I32" i="19" s="1" a="1"/>
  <c r="I32" i="19" s="1"/>
  <c r="I31" i="19" a="1"/>
  <c r="I31" i="19" s="1"/>
  <c r="J33" i="19" a="1"/>
  <c r="J33" i="19" s="1"/>
  <c r="G33" i="19" a="1"/>
  <c r="G33" i="19" s="1"/>
  <c r="H33" i="19"/>
  <c r="L33" i="19" s="1" a="1"/>
  <c r="L33" i="19" s="1"/>
  <c r="F32" i="19"/>
  <c r="C34" i="19" a="1"/>
  <c r="C34" i="19" s="1"/>
  <c r="E34" i="19" s="1" a="1"/>
  <c r="E34" i="19" s="1"/>
  <c r="P28" i="19"/>
  <c r="P29" i="19"/>
  <c r="R29" i="19"/>
  <c r="W32" i="19" l="1"/>
  <c r="V32" i="19"/>
  <c r="M32" i="19" a="1"/>
  <c r="M32" i="19" s="1"/>
  <c r="X32" i="19"/>
  <c r="U32" i="19"/>
  <c r="S28" i="19"/>
  <c r="S29" i="19"/>
  <c r="J34" i="19" a="1"/>
  <c r="J34" i="19" s="1"/>
  <c r="G34" i="19" a="1"/>
  <c r="G34" i="19" s="1"/>
  <c r="H34" i="19"/>
  <c r="L34" i="19" s="1" a="1"/>
  <c r="L34" i="19" s="1"/>
  <c r="F33" i="19"/>
  <c r="D33" i="19"/>
  <c r="I33" i="19" s="1" a="1"/>
  <c r="I33" i="19" s="1"/>
  <c r="K33" i="19" s="1" a="1"/>
  <c r="K33" i="19" s="1"/>
  <c r="C35" i="19" a="1"/>
  <c r="C35" i="19" s="1"/>
  <c r="E35" i="19" s="1" a="1"/>
  <c r="E35" i="19" s="1"/>
  <c r="M33" i="19" l="1" a="1"/>
  <c r="M33" i="19" s="1"/>
  <c r="V33" i="19" s="1"/>
  <c r="J35" i="19" a="1"/>
  <c r="J35" i="19" s="1"/>
  <c r="H35" i="19"/>
  <c r="L35" i="19" s="1" a="1"/>
  <c r="L35" i="19" s="1"/>
  <c r="G35" i="19" a="1"/>
  <c r="G35" i="19" s="1"/>
  <c r="F34" i="19"/>
  <c r="D34" i="19"/>
  <c r="I34" i="19" s="1" a="1"/>
  <c r="I34" i="19" s="1"/>
  <c r="K34" i="19" s="1" a="1"/>
  <c r="K34" i="19" s="1"/>
  <c r="C36" i="19" a="1"/>
  <c r="C36" i="19" s="1"/>
  <c r="E36" i="19" s="1" a="1"/>
  <c r="E36" i="19" s="1"/>
  <c r="M34" i="19" l="1" a="1"/>
  <c r="M34" i="19" s="1"/>
  <c r="V34" i="19" s="1"/>
  <c r="N31" i="19" a="1"/>
  <c r="N31" i="19" s="1"/>
  <c r="N30" i="19" a="1"/>
  <c r="N30" i="19" s="1"/>
  <c r="T30" i="19" s="1"/>
  <c r="G36" i="19" a="1"/>
  <c r="G36" i="19" s="1"/>
  <c r="J36" i="19" a="1"/>
  <c r="J36" i="19" s="1"/>
  <c r="H36" i="19"/>
  <c r="L36" i="19" s="1" a="1"/>
  <c r="L36" i="19" s="1"/>
  <c r="F35" i="19"/>
  <c r="D35" i="19"/>
  <c r="I35" i="19" s="1" a="1"/>
  <c r="I35" i="19" s="1"/>
  <c r="K35" i="19" s="1" a="1"/>
  <c r="K35" i="19" s="1"/>
  <c r="C37" i="19" a="1"/>
  <c r="C37" i="19" s="1"/>
  <c r="E37" i="19" s="1" a="1"/>
  <c r="E37" i="19" s="1"/>
  <c r="M35" i="19" l="1" a="1"/>
  <c r="M35" i="19" s="1"/>
  <c r="V35" i="19" s="1"/>
  <c r="O30" i="19"/>
  <c r="Q30" i="19"/>
  <c r="Q31" i="19"/>
  <c r="O31" i="19"/>
  <c r="H37" i="19"/>
  <c r="L37" i="19" s="1" a="1"/>
  <c r="L37" i="19" s="1"/>
  <c r="G37" i="19" a="1"/>
  <c r="G37" i="19" s="1"/>
  <c r="J37" i="19" a="1"/>
  <c r="J37" i="19" s="1"/>
  <c r="F36" i="19"/>
  <c r="D36" i="19"/>
  <c r="I36" i="19" s="1" a="1"/>
  <c r="I36" i="19" s="1"/>
  <c r="K36" i="19" s="1" a="1"/>
  <c r="K36" i="19" s="1"/>
  <c r="C38" i="19" a="1"/>
  <c r="C38" i="19" s="1"/>
  <c r="E38" i="19" s="1" a="1"/>
  <c r="E38" i="19" s="1"/>
  <c r="R31" i="19"/>
  <c r="P31" i="19"/>
  <c r="P30" i="19"/>
  <c r="R30" i="19"/>
  <c r="M36" i="19" l="1" a="1"/>
  <c r="M36" i="19" s="1"/>
  <c r="V36" i="19" s="1"/>
  <c r="N32" i="19" a="1"/>
  <c r="N32" i="19" s="1"/>
  <c r="T32" i="19" s="1"/>
  <c r="S31" i="19"/>
  <c r="S30" i="19"/>
  <c r="AJ20" i="19"/>
  <c r="H38" i="19"/>
  <c r="G38" i="19" a="1"/>
  <c r="G38" i="19" s="1"/>
  <c r="J38" i="19" a="1"/>
  <c r="J38" i="19" s="1"/>
  <c r="F37" i="19"/>
  <c r="D37" i="19"/>
  <c r="I37" i="19" s="1" a="1"/>
  <c r="I37" i="19" s="1"/>
  <c r="K37" i="19" s="1" a="1"/>
  <c r="K37" i="19" s="1"/>
  <c r="C39" i="19" a="1"/>
  <c r="C39" i="19" s="1"/>
  <c r="E39" i="19" s="1" a="1"/>
  <c r="E39" i="19" s="1"/>
  <c r="U29" i="19"/>
  <c r="U27" i="19"/>
  <c r="U22" i="19"/>
  <c r="U25" i="19"/>
  <c r="U24" i="19"/>
  <c r="U21" i="19"/>
  <c r="U28" i="19"/>
  <c r="U23" i="19"/>
  <c r="U26" i="19"/>
  <c r="L38" i="19" l="1" a="1"/>
  <c r="L38" i="19" s="1"/>
  <c r="M37" i="19" a="1"/>
  <c r="M37" i="19" s="1"/>
  <c r="V37" i="19" s="1"/>
  <c r="N33" i="19" a="1"/>
  <c r="N33" i="19" s="1"/>
  <c r="O32" i="19"/>
  <c r="Q32" i="19"/>
  <c r="H39" i="19"/>
  <c r="L39" i="19" s="1" a="1"/>
  <c r="L39" i="19" s="1"/>
  <c r="G39" i="19" a="1"/>
  <c r="G39" i="19" s="1"/>
  <c r="J39" i="19" a="1"/>
  <c r="J39" i="19" s="1"/>
  <c r="F38" i="19"/>
  <c r="D38" i="19"/>
  <c r="I38" i="19" s="1" a="1"/>
  <c r="I38" i="19" s="1"/>
  <c r="K38" i="19" s="1" a="1"/>
  <c r="K38" i="19" s="1"/>
  <c r="C40" i="19" a="1"/>
  <c r="C40" i="19" s="1"/>
  <c r="E40" i="19" s="1" a="1"/>
  <c r="E40" i="19" s="1"/>
  <c r="U30" i="19"/>
  <c r="R32" i="19"/>
  <c r="P32" i="19"/>
  <c r="W26" i="19"/>
  <c r="W25" i="19"/>
  <c r="W21" i="19"/>
  <c r="W23" i="19"/>
  <c r="W27" i="19"/>
  <c r="W29" i="19"/>
  <c r="W22" i="19"/>
  <c r="W28" i="19"/>
  <c r="W24" i="19"/>
  <c r="M38" i="19" l="1" a="1"/>
  <c r="M38" i="19" s="1"/>
  <c r="V38" i="19" s="1"/>
  <c r="X21" i="19"/>
  <c r="X28" i="19"/>
  <c r="X22" i="19"/>
  <c r="X27" i="19"/>
  <c r="X23" i="19"/>
  <c r="X26" i="19"/>
  <c r="X29" i="19"/>
  <c r="X24" i="19"/>
  <c r="X25" i="19"/>
  <c r="Q33" i="19"/>
  <c r="T33" i="19"/>
  <c r="O33" i="19"/>
  <c r="S32" i="19"/>
  <c r="J40" i="19" a="1"/>
  <c r="J40" i="19" s="1"/>
  <c r="H40" i="19"/>
  <c r="L40" i="19" s="1" a="1"/>
  <c r="L40" i="19" s="1"/>
  <c r="G40" i="19" a="1"/>
  <c r="G40" i="19" s="1"/>
  <c r="F39" i="19"/>
  <c r="D39" i="19"/>
  <c r="I39" i="19" s="1" a="1"/>
  <c r="I39" i="19" s="1"/>
  <c r="K39" i="19" s="1" a="1"/>
  <c r="K39" i="19" s="1"/>
  <c r="C41" i="19" a="1"/>
  <c r="C41" i="19" s="1"/>
  <c r="W30" i="19"/>
  <c r="R33" i="19"/>
  <c r="P33" i="19"/>
  <c r="M39" i="19" l="1" a="1"/>
  <c r="M39" i="19" s="1"/>
  <c r="V39" i="19" s="1"/>
  <c r="X30" i="19"/>
  <c r="J41" i="18" s="1" a="1"/>
  <c r="J41" i="18" s="1"/>
  <c r="N34" i="19" a="1"/>
  <c r="N34" i="19" s="1"/>
  <c r="T34" i="19" s="1"/>
  <c r="E41" i="19" a="1"/>
  <c r="E41" i="19" s="1"/>
  <c r="N35" i="19" a="1"/>
  <c r="N35" i="19" s="1"/>
  <c r="T35" i="19" s="1"/>
  <c r="N37" i="19" a="1"/>
  <c r="N37" i="19" s="1"/>
  <c r="T37" i="19" s="1"/>
  <c r="N36" i="19" a="1"/>
  <c r="N36" i="19" s="1"/>
  <c r="N38" i="19" a="1"/>
  <c r="N38" i="19" s="1"/>
  <c r="Q38" i="19" s="1"/>
  <c r="S33" i="19"/>
  <c r="N39" i="19" a="1"/>
  <c r="N39" i="19" s="1"/>
  <c r="J41" i="19" a="1"/>
  <c r="J41" i="19" s="1"/>
  <c r="H41" i="19"/>
  <c r="G41" i="19" a="1"/>
  <c r="G41" i="19" s="1"/>
  <c r="F40" i="19"/>
  <c r="D40" i="19"/>
  <c r="I40" i="19" s="1" a="1"/>
  <c r="I40" i="19" s="1"/>
  <c r="K40" i="19" s="1" a="1"/>
  <c r="K40" i="19" s="1"/>
  <c r="C42" i="19" a="1"/>
  <c r="C42" i="19" s="1"/>
  <c r="E42" i="19" s="1" a="1"/>
  <c r="E42" i="19" s="1"/>
  <c r="K41" i="19" l="1" a="1"/>
  <c r="K41" i="19" s="1"/>
  <c r="L41" i="19" a="1"/>
  <c r="L41" i="19" s="1"/>
  <c r="M40" i="19" a="1"/>
  <c r="M40" i="19" s="1"/>
  <c r="V40" i="19" s="1"/>
  <c r="Z31" i="19"/>
  <c r="T39" i="19"/>
  <c r="Q34" i="19"/>
  <c r="Q36" i="19"/>
  <c r="T36" i="19"/>
  <c r="O34" i="19"/>
  <c r="T38" i="19"/>
  <c r="O36" i="19"/>
  <c r="O38" i="19"/>
  <c r="O37" i="19"/>
  <c r="Q37" i="19"/>
  <c r="O35" i="19"/>
  <c r="Q35" i="19"/>
  <c r="Q39" i="19"/>
  <c r="O39" i="19"/>
  <c r="AA31" i="19"/>
  <c r="N40" i="19" a="1"/>
  <c r="N40" i="19" s="1"/>
  <c r="T40" i="19" s="1"/>
  <c r="J42" i="19" a="1"/>
  <c r="J42" i="19" s="1"/>
  <c r="H42" i="19"/>
  <c r="L42" i="19" s="1" a="1"/>
  <c r="L42" i="19" s="1"/>
  <c r="G42" i="19" a="1"/>
  <c r="G42" i="19" s="1"/>
  <c r="F41" i="19"/>
  <c r="D41" i="19"/>
  <c r="I41" i="19" s="1" a="1"/>
  <c r="I41" i="19" s="1"/>
  <c r="C43" i="19" a="1"/>
  <c r="C43" i="19" s="1"/>
  <c r="E43" i="19" s="1" a="1"/>
  <c r="E43" i="19" s="1"/>
  <c r="R35" i="19"/>
  <c r="P34" i="19"/>
  <c r="P36" i="19"/>
  <c r="R36" i="19"/>
  <c r="P35" i="19"/>
  <c r="P39" i="19"/>
  <c r="P38" i="19"/>
  <c r="R39" i="19"/>
  <c r="R37" i="19"/>
  <c r="R38" i="19"/>
  <c r="R34" i="19"/>
  <c r="P37" i="19"/>
  <c r="K42" i="19" l="1" a="1"/>
  <c r="K42" i="19" s="1"/>
  <c r="X41" i="19"/>
  <c r="U41" i="19"/>
  <c r="W41" i="19"/>
  <c r="M41" i="19" a="1"/>
  <c r="M41" i="19" s="1"/>
  <c r="V41" i="19"/>
  <c r="Y31" i="19"/>
  <c r="T41" i="19"/>
  <c r="AB31" i="19"/>
  <c r="S34" i="19"/>
  <c r="S36" i="19"/>
  <c r="S38" i="19"/>
  <c r="S35" i="19"/>
  <c r="S37" i="19"/>
  <c r="O40" i="19"/>
  <c r="Q40" i="19"/>
  <c r="S39" i="19"/>
  <c r="AC31" i="19"/>
  <c r="AD31" i="19"/>
  <c r="N41" i="19" a="1"/>
  <c r="N41" i="19" s="1"/>
  <c r="J43" i="19" a="1"/>
  <c r="J43" i="19" s="1"/>
  <c r="H43" i="19"/>
  <c r="L43" i="19" s="1" a="1"/>
  <c r="L43" i="19" s="1"/>
  <c r="G43" i="19" a="1"/>
  <c r="G43" i="19" s="1"/>
  <c r="F42" i="19"/>
  <c r="D42" i="19"/>
  <c r="I42" i="19" s="1" a="1"/>
  <c r="I42" i="19" s="1"/>
  <c r="C44" i="19" a="1"/>
  <c r="C44" i="19" s="1"/>
  <c r="E44" i="19" s="1" a="1"/>
  <c r="E44" i="19" s="1"/>
  <c r="P40" i="19"/>
  <c r="R40" i="19"/>
  <c r="U33" i="19"/>
  <c r="K43" i="19" l="1" a="1"/>
  <c r="K43" i="19" s="1"/>
  <c r="AJ35" i="19"/>
  <c r="M42" i="19" a="1"/>
  <c r="M42" i="19" s="1"/>
  <c r="X42" i="19"/>
  <c r="U42" i="19"/>
  <c r="W42" i="19"/>
  <c r="V42" i="19"/>
  <c r="T42" i="19"/>
  <c r="O41" i="19"/>
  <c r="Q41" i="19"/>
  <c r="S40" i="19"/>
  <c r="AB43" i="19"/>
  <c r="AD43" i="19"/>
  <c r="AC43" i="19"/>
  <c r="Q42" i="19"/>
  <c r="R42" i="19"/>
  <c r="S42" i="19"/>
  <c r="N42" i="19" a="1"/>
  <c r="N42" i="19" s="1"/>
  <c r="Z43" i="19"/>
  <c r="AA43" i="19"/>
  <c r="Y43" i="19"/>
  <c r="P42" i="19"/>
  <c r="O42" i="19"/>
  <c r="G44" i="19" a="1"/>
  <c r="G44" i="19" s="1"/>
  <c r="J44" i="19" a="1"/>
  <c r="J44" i="19" s="1"/>
  <c r="H44" i="19"/>
  <c r="L44" i="19" s="1" a="1"/>
  <c r="L44" i="19" s="1"/>
  <c r="D43" i="19"/>
  <c r="I43" i="19" s="1" a="1"/>
  <c r="I43" i="19" s="1"/>
  <c r="F43" i="19"/>
  <c r="C45" i="19" a="1"/>
  <c r="C45" i="19" s="1"/>
  <c r="E45" i="19" s="1" a="1"/>
  <c r="E45" i="19" s="1"/>
  <c r="P41" i="19"/>
  <c r="R41" i="19"/>
  <c r="U34" i="19"/>
  <c r="W33" i="19"/>
  <c r="U38" i="19"/>
  <c r="U35" i="19"/>
  <c r="U39" i="19"/>
  <c r="U36" i="19"/>
  <c r="U37" i="19"/>
  <c r="K44" i="19" l="1" a="1"/>
  <c r="K44" i="19" s="1"/>
  <c r="X33" i="19"/>
  <c r="V43" i="19"/>
  <c r="W43" i="19"/>
  <c r="M43" i="19" a="1"/>
  <c r="M43" i="19" s="1"/>
  <c r="X43" i="19"/>
  <c r="U43" i="19"/>
  <c r="T43" i="19"/>
  <c r="S41" i="19"/>
  <c r="AA42" i="19"/>
  <c r="Y42" i="19"/>
  <c r="Z42" i="19"/>
  <c r="AD44" i="19"/>
  <c r="AB44" i="19"/>
  <c r="AC44" i="19"/>
  <c r="N43" i="19" a="1"/>
  <c r="N43" i="19" s="1"/>
  <c r="Q43" i="19"/>
  <c r="R43" i="19"/>
  <c r="S43" i="19"/>
  <c r="Y44" i="19"/>
  <c r="Z44" i="19"/>
  <c r="AA44" i="19"/>
  <c r="O43" i="19"/>
  <c r="P43" i="19"/>
  <c r="G45" i="19" a="1"/>
  <c r="G45" i="19" s="1"/>
  <c r="H45" i="19"/>
  <c r="L45" i="19" s="1" a="1"/>
  <c r="L45" i="19" s="1"/>
  <c r="J45" i="19" a="1"/>
  <c r="J45" i="19" s="1"/>
  <c r="D44" i="19"/>
  <c r="I44" i="19" s="1" a="1"/>
  <c r="I44" i="19" s="1"/>
  <c r="F44" i="19"/>
  <c r="C46" i="19" a="1"/>
  <c r="C46" i="19" s="1"/>
  <c r="E46" i="19" s="1" a="1"/>
  <c r="E46" i="19" s="1"/>
  <c r="U40" i="19"/>
  <c r="W35" i="19"/>
  <c r="W37" i="19"/>
  <c r="W38" i="19"/>
  <c r="W39" i="19"/>
  <c r="W34" i="19"/>
  <c r="W36" i="19"/>
  <c r="J35" i="18" l="1" a="1"/>
  <c r="J35" i="18" s="1"/>
  <c r="Z17" i="19"/>
  <c r="AA24" i="19"/>
  <c r="K45" i="19" a="1"/>
  <c r="K45" i="19" s="1"/>
  <c r="X44" i="19"/>
  <c r="M44" i="19" a="1"/>
  <c r="M44" i="19" s="1"/>
  <c r="V44" i="19"/>
  <c r="U44" i="19"/>
  <c r="W44" i="19"/>
  <c r="X38" i="19"/>
  <c r="Y14" i="19" s="1"/>
  <c r="X36" i="19"/>
  <c r="X37" i="19"/>
  <c r="X34" i="19"/>
  <c r="X35" i="19"/>
  <c r="X39" i="19"/>
  <c r="N35" i="18" s="1" a="1"/>
  <c r="N35" i="18" s="1"/>
  <c r="M35" i="18" s="1" a="1"/>
  <c r="M35" i="18" s="1"/>
  <c r="T44" i="19"/>
  <c r="AB42" i="19"/>
  <c r="AC42" i="19"/>
  <c r="AD42" i="19"/>
  <c r="AD45" i="19"/>
  <c r="AB45" i="19"/>
  <c r="AC45" i="19"/>
  <c r="Q44" i="19"/>
  <c r="R44" i="19"/>
  <c r="N44" i="19" a="1"/>
  <c r="N44" i="19" s="1"/>
  <c r="S44" i="19"/>
  <c r="Z45" i="19"/>
  <c r="AA45" i="19"/>
  <c r="Y45" i="19"/>
  <c r="O44" i="19"/>
  <c r="P44" i="19"/>
  <c r="G46" i="19" a="1"/>
  <c r="G46" i="19" s="1"/>
  <c r="J46" i="19" a="1"/>
  <c r="J46" i="19" s="1"/>
  <c r="H46" i="19"/>
  <c r="L46" i="19" s="1" a="1"/>
  <c r="L46" i="19" s="1"/>
  <c r="D45" i="19"/>
  <c r="I45" i="19" s="1" a="1"/>
  <c r="I45" i="19" s="1"/>
  <c r="F45" i="19"/>
  <c r="C47" i="19" a="1"/>
  <c r="C47" i="19" s="1"/>
  <c r="E47" i="19" s="1" a="1"/>
  <c r="E47" i="19" s="1"/>
  <c r="W40" i="19"/>
  <c r="N37" i="18" l="1" a="1"/>
  <c r="N37" i="18" s="1"/>
  <c r="M37" i="18" s="1" a="1"/>
  <c r="M37" i="18" s="1"/>
  <c r="N36" i="18" a="1"/>
  <c r="N36" i="18" s="1"/>
  <c r="M36" i="18" s="1" a="1"/>
  <c r="M36" i="18" s="1"/>
  <c r="N38" i="18" a="1"/>
  <c r="N38" i="18" s="1"/>
  <c r="M38" i="18" s="1" a="1"/>
  <c r="M38" i="18" s="1"/>
  <c r="N39" i="18" a="1"/>
  <c r="N39" i="18" s="1"/>
  <c r="M39" i="18" s="1" a="1"/>
  <c r="M39" i="18" s="1"/>
  <c r="J39" i="18" a="1"/>
  <c r="J39" i="18" s="1"/>
  <c r="I39" i="18" s="1" a="1"/>
  <c r="I39" i="18" s="1"/>
  <c r="Z14" i="19"/>
  <c r="F35" i="18" a="1"/>
  <c r="F35" i="18" s="1"/>
  <c r="AJ16" i="19" s="1"/>
  <c r="AA14" i="19"/>
  <c r="AA29" i="19"/>
  <c r="Z29" i="19"/>
  <c r="AA27" i="19"/>
  <c r="Y17" i="19"/>
  <c r="F37" i="18" a="1"/>
  <c r="F37" i="18" s="1"/>
  <c r="AJ18" i="19" s="1"/>
  <c r="AA22" i="19"/>
  <c r="J37" i="18" a="1"/>
  <c r="J37" i="18" s="1"/>
  <c r="AJ31" i="19" s="1"/>
  <c r="Z15" i="19"/>
  <c r="F38" i="18" a="1"/>
  <c r="F38" i="18" s="1"/>
  <c r="E38" i="18" s="1" a="1"/>
  <c r="E38" i="18" s="1"/>
  <c r="AI19" i="19" s="1"/>
  <c r="Z23" i="19"/>
  <c r="Z27" i="19"/>
  <c r="Y16" i="19"/>
  <c r="J36" i="18" a="1"/>
  <c r="J36" i="18" s="1"/>
  <c r="I36" i="18" s="1" a="1"/>
  <c r="I36" i="18" s="1"/>
  <c r="AI30" i="19" s="1"/>
  <c r="Y23" i="19"/>
  <c r="Y22" i="19"/>
  <c r="Z16" i="19"/>
  <c r="F36" i="18" a="1"/>
  <c r="F36" i="18" s="1"/>
  <c r="E36" i="18" s="1" a="1"/>
  <c r="E36" i="18" s="1"/>
  <c r="AI17" i="19" s="1"/>
  <c r="Y27" i="19"/>
  <c r="AA15" i="19"/>
  <c r="Z21" i="19"/>
  <c r="AA28" i="19"/>
  <c r="J38" i="18" a="1"/>
  <c r="J38" i="18" s="1"/>
  <c r="I38" i="18" s="1" a="1"/>
  <c r="I38" i="18" s="1"/>
  <c r="AI32" i="19" s="1"/>
  <c r="AA21" i="19"/>
  <c r="Y28" i="19"/>
  <c r="Z24" i="19"/>
  <c r="AB24" i="19" s="1"/>
  <c r="Y21" i="19"/>
  <c r="Z28" i="19"/>
  <c r="AJ29" i="19"/>
  <c r="AJ30" i="19"/>
  <c r="I35" i="18" a="1"/>
  <c r="I35" i="18" s="1"/>
  <c r="AI29" i="19" s="1"/>
  <c r="Z22" i="19"/>
  <c r="Y29" i="19"/>
  <c r="Z25" i="19"/>
  <c r="AA16" i="19"/>
  <c r="Y24" i="19"/>
  <c r="Y25" i="19"/>
  <c r="AA17" i="19"/>
  <c r="AB17" i="19" s="1"/>
  <c r="Y26" i="19"/>
  <c r="Y15" i="19"/>
  <c r="Z26" i="19"/>
  <c r="AA25" i="19"/>
  <c r="AA23" i="19"/>
  <c r="AA26" i="19"/>
  <c r="K46" i="19" a="1"/>
  <c r="K46" i="19" s="1"/>
  <c r="U45" i="19"/>
  <c r="W45" i="19"/>
  <c r="X45" i="19"/>
  <c r="V45" i="19"/>
  <c r="M45" i="19" a="1"/>
  <c r="M45" i="19" s="1"/>
  <c r="AA39" i="19"/>
  <c r="AA35" i="19"/>
  <c r="AA37" i="19"/>
  <c r="AA38" i="19"/>
  <c r="Z39" i="19"/>
  <c r="Z37" i="19"/>
  <c r="Z35" i="19"/>
  <c r="Z36" i="19"/>
  <c r="Z38" i="19"/>
  <c r="X40" i="19"/>
  <c r="N41" i="18" s="1" a="1"/>
  <c r="N41" i="18" s="1"/>
  <c r="E25" i="18" s="1"/>
  <c r="T45" i="19"/>
  <c r="AB46" i="19"/>
  <c r="AD46" i="19"/>
  <c r="AC46" i="19"/>
  <c r="Y46" i="19"/>
  <c r="AA46" i="19"/>
  <c r="Z46" i="19"/>
  <c r="Q45" i="19"/>
  <c r="N45" i="19" a="1"/>
  <c r="N45" i="19" s="1"/>
  <c r="R45" i="19"/>
  <c r="S45" i="19"/>
  <c r="O45" i="19"/>
  <c r="P45" i="19"/>
  <c r="G47" i="19" a="1"/>
  <c r="G47" i="19" s="1"/>
  <c r="H47" i="19"/>
  <c r="L47" i="19" s="1" a="1"/>
  <c r="L47" i="19" s="1"/>
  <c r="J47" i="19" a="1"/>
  <c r="J47" i="19" s="1"/>
  <c r="D46" i="19"/>
  <c r="I46" i="19" s="1" a="1"/>
  <c r="I46" i="19" s="1"/>
  <c r="F46" i="19"/>
  <c r="C48" i="19" a="1"/>
  <c r="C48" i="19" s="1"/>
  <c r="E48" i="19" s="1" a="1"/>
  <c r="E48" i="19" s="1"/>
  <c r="K47" i="19" l="1" a="1"/>
  <c r="K47" i="19" s="1"/>
  <c r="N40" i="18"/>
  <c r="M40" i="18" s="1"/>
  <c r="E35" i="18" a="1"/>
  <c r="E35" i="18" s="1"/>
  <c r="AI16" i="19" s="1"/>
  <c r="AB14" i="19"/>
  <c r="AB29" i="19"/>
  <c r="AD21" i="19"/>
  <c r="AB15" i="19"/>
  <c r="AB21" i="19"/>
  <c r="AC27" i="19"/>
  <c r="AC14" i="19"/>
  <c r="AD29" i="19"/>
  <c r="AC29" i="19"/>
  <c r="AD14" i="19"/>
  <c r="AC15" i="19"/>
  <c r="AD15" i="19"/>
  <c r="F40" i="18"/>
  <c r="AJ21" i="19" s="1"/>
  <c r="J40" i="18"/>
  <c r="I40" i="18" s="1"/>
  <c r="I37" i="18" a="1"/>
  <c r="I37" i="18" s="1"/>
  <c r="AI31" i="19" s="1"/>
  <c r="AJ17" i="19"/>
  <c r="AJ32" i="19"/>
  <c r="AB27" i="19"/>
  <c r="E37" i="18" a="1"/>
  <c r="E37" i="18" s="1"/>
  <c r="AI18" i="19" s="1"/>
  <c r="AB28" i="19"/>
  <c r="AD27" i="19"/>
  <c r="AB23" i="19"/>
  <c r="AB16" i="19"/>
  <c r="AJ19" i="19"/>
  <c r="AC21" i="19"/>
  <c r="AB22" i="19"/>
  <c r="AC28" i="19"/>
  <c r="AD24" i="19"/>
  <c r="AC24" i="19"/>
  <c r="AC22" i="19"/>
  <c r="AB26" i="19"/>
  <c r="AD16" i="19"/>
  <c r="AC16" i="19"/>
  <c r="AB25" i="19"/>
  <c r="AD17" i="19"/>
  <c r="AC17" i="19"/>
  <c r="AD22" i="19"/>
  <c r="AD23" i="19"/>
  <c r="AC23" i="19"/>
  <c r="AD26" i="19"/>
  <c r="AC26" i="19"/>
  <c r="AD25" i="19"/>
  <c r="AC25" i="19"/>
  <c r="AD28" i="19"/>
  <c r="AI33" i="19"/>
  <c r="AQ35" i="19"/>
  <c r="E26" i="18"/>
  <c r="V46" i="19"/>
  <c r="X46" i="19"/>
  <c r="M46" i="19" a="1"/>
  <c r="M46" i="19" s="1"/>
  <c r="U46" i="19"/>
  <c r="W46" i="19"/>
  <c r="AB35" i="19"/>
  <c r="AB38" i="19"/>
  <c r="AC37" i="19"/>
  <c r="AB37" i="19"/>
  <c r="AC38" i="19"/>
  <c r="AC35" i="19"/>
  <c r="AC39" i="19"/>
  <c r="AB39" i="19"/>
  <c r="Z40" i="19"/>
  <c r="AA36" i="19"/>
  <c r="AA40" i="19"/>
  <c r="E27" i="18"/>
  <c r="T46" i="19"/>
  <c r="AD47" i="19"/>
  <c r="AB47" i="19"/>
  <c r="AC47" i="19"/>
  <c r="Y47" i="19"/>
  <c r="Z47" i="19"/>
  <c r="AA47" i="19"/>
  <c r="N46" i="19" a="1"/>
  <c r="N46" i="19" s="1"/>
  <c r="Q46" i="19"/>
  <c r="R46" i="19"/>
  <c r="S46" i="19"/>
  <c r="O46" i="19"/>
  <c r="P46" i="19"/>
  <c r="J48" i="19" a="1"/>
  <c r="J48" i="19" s="1"/>
  <c r="G48" i="19" a="1"/>
  <c r="G48" i="19" s="1"/>
  <c r="H48" i="19"/>
  <c r="L48" i="19" s="1" a="1"/>
  <c r="L48" i="19" s="1"/>
  <c r="F47" i="19"/>
  <c r="D47" i="19"/>
  <c r="I47" i="19" s="1" a="1"/>
  <c r="I47" i="19" s="1"/>
  <c r="C49" i="19" a="1"/>
  <c r="C49" i="19" s="1"/>
  <c r="E49" i="19" s="1" a="1"/>
  <c r="E49" i="19" s="1"/>
  <c r="E40" i="18" l="1"/>
  <c r="AI21" i="19" s="1"/>
  <c r="K48" i="19" a="1"/>
  <c r="K48" i="19" s="1"/>
  <c r="AJ33" i="19"/>
  <c r="U47" i="19"/>
  <c r="M47" i="19" a="1"/>
  <c r="M47" i="19" s="1"/>
  <c r="V47" i="19"/>
  <c r="W47" i="19"/>
  <c r="X47" i="19"/>
  <c r="AC40" i="19"/>
  <c r="AB36" i="19"/>
  <c r="AC36" i="19"/>
  <c r="AB40" i="19"/>
  <c r="T47" i="19"/>
  <c r="AD48" i="19"/>
  <c r="AB48" i="19"/>
  <c r="AC48" i="19"/>
  <c r="N47" i="19" a="1"/>
  <c r="N47" i="19" s="1"/>
  <c r="S47" i="19"/>
  <c r="Q47" i="19"/>
  <c r="R47" i="19"/>
  <c r="AA48" i="19"/>
  <c r="Y48" i="19"/>
  <c r="Z48" i="19"/>
  <c r="P47" i="19"/>
  <c r="O47" i="19"/>
  <c r="J49" i="19" a="1"/>
  <c r="J49" i="19" s="1"/>
  <c r="G49" i="19" a="1"/>
  <c r="G49" i="19" s="1"/>
  <c r="H49" i="19"/>
  <c r="L49" i="19" s="1" a="1"/>
  <c r="L49" i="19" s="1"/>
  <c r="F48" i="19"/>
  <c r="D48" i="19"/>
  <c r="I48" i="19" s="1" a="1"/>
  <c r="I48" i="19" s="1"/>
  <c r="C50" i="19" a="1"/>
  <c r="C50" i="19" s="1"/>
  <c r="E50" i="19" s="1" a="1"/>
  <c r="E50" i="19" s="1"/>
  <c r="K49" i="19" l="1" a="1"/>
  <c r="K49" i="19" s="1"/>
  <c r="AJ34" i="19"/>
  <c r="M48" i="19" a="1"/>
  <c r="M48" i="19" s="1"/>
  <c r="X48" i="19"/>
  <c r="U48" i="19"/>
  <c r="W48" i="19"/>
  <c r="V48" i="19"/>
  <c r="T48" i="19"/>
  <c r="AC49" i="19"/>
  <c r="AD49" i="19"/>
  <c r="AB49" i="19"/>
  <c r="AA49" i="19"/>
  <c r="Y49" i="19"/>
  <c r="Z49" i="19"/>
  <c r="N48" i="19" a="1"/>
  <c r="N48" i="19" s="1"/>
  <c r="Q48" i="19"/>
  <c r="R48" i="19"/>
  <c r="S48" i="19"/>
  <c r="P48" i="19"/>
  <c r="O48" i="19"/>
  <c r="J50" i="19" a="1"/>
  <c r="J50" i="19" s="1"/>
  <c r="G50" i="19" a="1"/>
  <c r="G50" i="19" s="1"/>
  <c r="H50" i="19"/>
  <c r="L50" i="19" s="1" a="1"/>
  <c r="L50" i="19" s="1"/>
  <c r="F49" i="19"/>
  <c r="D49" i="19"/>
  <c r="I49" i="19" s="1" a="1"/>
  <c r="I49" i="19" s="1"/>
  <c r="K50" i="19" l="1" a="1"/>
  <c r="K50" i="19" s="1"/>
  <c r="M49" i="19" a="1"/>
  <c r="M49" i="19" s="1"/>
  <c r="X49" i="19"/>
  <c r="W49" i="19"/>
  <c r="U49" i="19"/>
  <c r="V49" i="19"/>
  <c r="T49" i="19"/>
  <c r="AC50" i="19"/>
  <c r="AD50" i="19"/>
  <c r="AB50" i="19"/>
  <c r="S49" i="19"/>
  <c r="N49" i="19" a="1"/>
  <c r="N49" i="19" s="1"/>
  <c r="R49" i="19"/>
  <c r="Q49" i="19"/>
  <c r="AA50" i="19"/>
  <c r="Y50" i="19"/>
  <c r="Z50" i="19"/>
  <c r="P49" i="19"/>
  <c r="O49" i="19"/>
  <c r="F50" i="19"/>
  <c r="D50" i="19"/>
  <c r="I50" i="19" s="1" a="1"/>
  <c r="I50" i="19" s="1"/>
  <c r="U50" i="19" l="1"/>
  <c r="V50" i="19"/>
  <c r="M50" i="19" a="1"/>
  <c r="M50" i="19" s="1"/>
  <c r="X50" i="19"/>
  <c r="W50" i="19"/>
  <c r="T50" i="19"/>
  <c r="S50" i="19"/>
  <c r="N50" i="19" a="1"/>
  <c r="N50" i="19" s="1"/>
  <c r="Q50" i="19"/>
  <c r="R50" i="19"/>
  <c r="O50" i="19"/>
  <c r="P50" i="19"/>
  <c r="AA41" i="19" l="1"/>
  <c r="Y41" i="19"/>
  <c r="Z41" i="19"/>
  <c r="Y40" i="19"/>
  <c r="Y39" i="19"/>
  <c r="Y38" i="19"/>
  <c r="Y37" i="19"/>
  <c r="Y36" i="19"/>
  <c r="Y35" i="19"/>
  <c r="AP31" i="19"/>
  <c r="Z34" i="19"/>
  <c r="Y34" i="19"/>
  <c r="AA34" i="19"/>
  <c r="AA30" i="19"/>
  <c r="Y30" i="19"/>
  <c r="Y33" i="19"/>
  <c r="Z30" i="19"/>
  <c r="AA33" i="19"/>
  <c r="Z33" i="19"/>
  <c r="Z32" i="19"/>
  <c r="AA32" i="19"/>
  <c r="Y32" i="19"/>
  <c r="AB41" i="19" l="1"/>
  <c r="AC41" i="19"/>
  <c r="AD41" i="19"/>
  <c r="AD40" i="19"/>
  <c r="AD39" i="19"/>
  <c r="AD37" i="19"/>
  <c r="AD38" i="19"/>
  <c r="AD36" i="19"/>
  <c r="AP33" i="19"/>
  <c r="AQ33" i="19"/>
  <c r="AD35" i="19"/>
  <c r="AB33" i="19"/>
  <c r="AB34" i="19"/>
  <c r="AQ31" i="19"/>
  <c r="AP30" i="19"/>
  <c r="AQ30" i="19"/>
  <c r="AD34" i="19"/>
  <c r="AC34" i="19"/>
  <c r="AB32" i="19"/>
  <c r="AB30" i="19"/>
  <c r="AC30" i="19"/>
  <c r="AD30" i="19"/>
  <c r="AD33" i="19"/>
  <c r="AC33" i="19"/>
  <c r="AP29" i="19"/>
  <c r="AQ29" i="19"/>
  <c r="AP32" i="19"/>
  <c r="AQ32" i="19"/>
  <c r="AC32" i="19"/>
  <c r="AD32" i="19"/>
  <c r="AP34" i="19" l="1"/>
  <c r="AQ34" i="19"/>
  <c r="AI34"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<sst xmlns="http://schemas.openxmlformats.org/spreadsheetml/2006/main" count="234" uniqueCount="141">
  <si>
    <t>Income</t>
  </si>
  <si>
    <t>Expenses</t>
  </si>
  <si>
    <t>Savings</t>
  </si>
  <si>
    <t>Type</t>
  </si>
  <si>
    <t>Total</t>
  </si>
  <si>
    <t>Budget Planning</t>
  </si>
  <si>
    <t>Budget Tracking</t>
  </si>
  <si>
    <t>Settings</t>
  </si>
  <si>
    <t>General</t>
  </si>
  <si>
    <t>Starting Year:</t>
  </si>
  <si>
    <t>set the starting year(yyyy) once at the beginning and do not change it again</t>
  </si>
  <si>
    <t>Define starting year in Settings ➔</t>
  </si>
  <si>
    <t>Enter Income Category…</t>
  </si>
  <si>
    <t>Employment (Net)</t>
  </si>
  <si>
    <t>Other</t>
  </si>
  <si>
    <t>Housing(Rent)</t>
  </si>
  <si>
    <t>Groceries</t>
  </si>
  <si>
    <t>Enter Expense Catergory</t>
  </si>
  <si>
    <t>Emergency Fund</t>
  </si>
  <si>
    <t>Rent(saving)</t>
  </si>
  <si>
    <t>Stock Portfolio</t>
  </si>
  <si>
    <t>Enter Savings Catergory</t>
  </si>
  <si>
    <t>To be allocated:</t>
  </si>
  <si>
    <t>Side Hustle( Net)</t>
  </si>
  <si>
    <t>Dividends</t>
  </si>
  <si>
    <t>Date</t>
  </si>
  <si>
    <t>Category</t>
  </si>
  <si>
    <t>Amount</t>
  </si>
  <si>
    <t>Details</t>
  </si>
  <si>
    <t xml:space="preserve">  </t>
  </si>
  <si>
    <t>Balance</t>
  </si>
  <si>
    <t>Effective Date</t>
  </si>
  <si>
    <t>Budget Tracking &amp; Dashboard</t>
  </si>
  <si>
    <t>Late Monthly Income</t>
  </si>
  <si>
    <t>Shift late income:</t>
  </si>
  <si>
    <t>Active</t>
  </si>
  <si>
    <t>Starting on day x in month:</t>
  </si>
  <si>
    <t>Activate this option to treat late income received on or after a certain day of the month as income for the next month. This is recommended in case you receive your paycheck towards the end of the month and prefer to consider this income as the disposable income for the next month.</t>
  </si>
  <si>
    <t>Calculations</t>
  </si>
  <si>
    <t>Worksheet: Budget Tracking</t>
  </si>
  <si>
    <t>Today:</t>
  </si>
  <si>
    <t>Last Record:</t>
  </si>
  <si>
    <t>Delta Last Record:</t>
  </si>
  <si>
    <t># Record:</t>
  </si>
  <si>
    <t># Record this year:</t>
  </si>
  <si>
    <t>Total Balance:</t>
  </si>
  <si>
    <t>Balance Analysis:</t>
  </si>
  <si>
    <t>Budget Dashboard</t>
  </si>
  <si>
    <t>Year</t>
  </si>
  <si>
    <t>Select the year to view  →</t>
  </si>
  <si>
    <t>Period</t>
  </si>
  <si>
    <t>Select the period to view  →</t>
  </si>
  <si>
    <t>Dropdown Data</t>
  </si>
  <si>
    <t>Year Dropdown</t>
  </si>
  <si>
    <t>Current Year</t>
  </si>
  <si>
    <t>Period Dropdown</t>
  </si>
  <si>
    <t>Total Year</t>
  </si>
  <si>
    <t>Current Month</t>
  </si>
  <si>
    <t>Worksheet: Budget Dashboard</t>
  </si>
  <si>
    <t>Selected Year:</t>
  </si>
  <si>
    <t>Selectd Period:</t>
  </si>
  <si>
    <t>Selected Period (Display)</t>
  </si>
  <si>
    <t>row_id</t>
  </si>
  <si>
    <t>header_row_id</t>
  </si>
  <si>
    <t>is_header</t>
  </si>
  <si>
    <t>is_cat</t>
  </si>
  <si>
    <t>is_empty</t>
  </si>
  <si>
    <t>type</t>
  </si>
  <si>
    <t>item</t>
  </si>
  <si>
    <t>tracked</t>
  </si>
  <si>
    <t>budget</t>
  </si>
  <si>
    <t>is_total</t>
  </si>
  <si>
    <t>SUM(Tracking[Amount] * (Tracking[Type]= type) *(YEAR(Tracking[Effective Date])=selected_year</t>
  </si>
  <si>
    <t>`</t>
  </si>
  <si>
    <t>sort_min_row</t>
  </si>
  <si>
    <t>sort_max_row</t>
  </si>
  <si>
    <t>tracked_range</t>
  </si>
  <si>
    <t>tracked_rank</t>
  </si>
  <si>
    <t>budget_range</t>
  </si>
  <si>
    <t>budget_rank</t>
  </si>
  <si>
    <t>comb_rank</t>
  </si>
  <si>
    <t>comb_rank_range</t>
  </si>
  <si>
    <t>comb_rank_norm</t>
  </si>
  <si>
    <t>comb_rank_norm_run_range</t>
  </si>
  <si>
    <t>comb_rank_unique</t>
  </si>
  <si>
    <t>sortrf_row_id(lookup)</t>
  </si>
  <si>
    <t>Chart Calculations: Distribution Charts</t>
  </si>
  <si>
    <t>Chart Calculations: Tracked (vs Budget)</t>
  </si>
  <si>
    <t xml:space="preserve">Month </t>
  </si>
  <si>
    <t xml:space="preserve">Month Num. </t>
  </si>
  <si>
    <t>In Focus</t>
  </si>
  <si>
    <t>Show Type</t>
  </si>
  <si>
    <t>Show Rem. Budget</t>
  </si>
  <si>
    <t xml:space="preserve">Tracked </t>
  </si>
  <si>
    <t>Budget</t>
  </si>
  <si>
    <t>Delta</t>
  </si>
  <si>
    <t>Period In Focus</t>
  </si>
  <si>
    <t>In Budget</t>
  </si>
  <si>
    <t>Remaining</t>
  </si>
  <si>
    <t>Excess</t>
  </si>
  <si>
    <t>Period not In Focus</t>
  </si>
  <si>
    <t>Show Savings:</t>
  </si>
  <si>
    <t>Show Expenses:</t>
  </si>
  <si>
    <t>Show Income:</t>
  </si>
  <si>
    <t>Show Rem. Budget:</t>
  </si>
  <si>
    <t>Days in Period:</t>
  </si>
  <si>
    <t>Days passed in Period:</t>
  </si>
  <si>
    <t>Days passed in Period %:</t>
  </si>
  <si>
    <t>Period Tracking Balance:</t>
  </si>
  <si>
    <t>Balance Analysis Text:</t>
  </si>
  <si>
    <t>Period Saving Rate:</t>
  </si>
  <si>
    <t>KPI Calculation In Dashboard</t>
  </si>
  <si>
    <t>Savings Rate as % of Income:</t>
  </si>
  <si>
    <t>% allocated to Savings</t>
  </si>
  <si>
    <t>GUIDE</t>
  </si>
  <si>
    <t>Transportation</t>
  </si>
  <si>
    <t>Utilities (house media fees)</t>
  </si>
  <si>
    <t>Family Tax</t>
  </si>
  <si>
    <t>Fun &amp; Vacation</t>
  </si>
  <si>
    <t>Sinking Fund</t>
  </si>
  <si>
    <t>Debt Repayment</t>
  </si>
  <si>
    <t>Health &amp; Wellnes</t>
  </si>
  <si>
    <t>Budget Start Date</t>
  </si>
  <si>
    <t>This is a zero based budget planning: meaning you have to allocate your disposable income to either income, expenses or savings after receiving your income.</t>
  </si>
  <si>
    <t xml:space="preserve">New budget categories cannot be introduced in this sheet, as the categories are dependent of what is provided in the budget planning sheet. </t>
  </si>
  <si>
    <t>Adding a New Row to the Budget/Expense table</t>
  </si>
  <si>
    <t>Edu &amp; Work tools</t>
  </si>
  <si>
    <t>Expense Categories</t>
  </si>
  <si>
    <t>Examples</t>
  </si>
  <si>
    <t>Edu. &amp; Work Tools</t>
  </si>
  <si>
    <t>Tuition fees, books, work related tools, certifications, gadgets</t>
  </si>
  <si>
    <t>skin &amp; health care, etc</t>
  </si>
  <si>
    <t>Transport</t>
  </si>
  <si>
    <t>Bus tram tickets, taxi/uber, rentals</t>
  </si>
  <si>
    <t>House media</t>
  </si>
  <si>
    <t>elect, water, internet</t>
  </si>
  <si>
    <t>S/N</t>
  </si>
  <si>
    <r>
      <t xml:space="preserve">Option 1: - Quick Add(Recommended)
1. Click the first empty cell below the table under the DATE column.
2. Enter the date of entry and press TAB to move across. The table should expand automatically, accepting your new entry.
</t>
    </r>
    <r>
      <rPr>
        <b/>
        <i/>
        <sz val="10"/>
        <color theme="0" tint="-0.34998626667073579"/>
        <rFont val="Lucida Sans"/>
        <family val="2"/>
        <scheme val="minor"/>
      </rPr>
      <t>Option 2- Manual Add(if auto doesn't work):</t>
    </r>
    <r>
      <rPr>
        <i/>
        <sz val="10"/>
        <color theme="0" tint="-0.34998626667073579"/>
        <rFont val="Lucida Sans"/>
        <family val="2"/>
        <scheme val="minor"/>
      </rPr>
      <t xml:space="preserve">
1. right click inside the table (eg cell  D14).
2. Select Insert-- Table Rpw above.
Always add rows within the table to ensure your data is captured and tracked properly.</t>
    </r>
  </si>
  <si>
    <r>
      <t xml:space="preserve">The budget tracking will be active on the </t>
    </r>
    <r>
      <rPr>
        <b/>
        <i/>
        <sz val="11"/>
        <color theme="0" tint="-0.499984740745262"/>
        <rFont val="Lucida Sans"/>
        <family val="2"/>
        <scheme val="minor"/>
      </rPr>
      <t>25th</t>
    </r>
    <r>
      <rPr>
        <i/>
        <sz val="11"/>
        <color theme="0" tint="-0.499984740745262"/>
        <rFont val="Lucida Sans"/>
        <family val="2"/>
        <scheme val="minor"/>
      </rPr>
      <t xml:space="preserve"> of each month, so if you receive your disposable income earlier you'd have to input the day you want it to start reading yourself. This can be done in the </t>
    </r>
    <r>
      <rPr>
        <b/>
        <i/>
        <sz val="11"/>
        <color theme="0" tint="-0.499984740745262"/>
        <rFont val="Lucida Sans"/>
        <family val="2"/>
        <scheme val="minor"/>
      </rPr>
      <t>Settings Worksheet</t>
    </r>
  </si>
  <si>
    <r>
      <t xml:space="preserve">This is a guide for Ahmod: The </t>
    </r>
    <r>
      <rPr>
        <b/>
        <i/>
        <sz val="11"/>
        <color theme="0" tint="-0.499984740745262"/>
        <rFont val="Lucida Sans"/>
        <family val="2"/>
        <scheme val="minor"/>
      </rPr>
      <t>Settings worksheet</t>
    </r>
    <r>
      <rPr>
        <i/>
        <sz val="11"/>
        <color theme="0" tint="-0.499984740745262"/>
        <rFont val="Lucida Sans"/>
        <family val="2"/>
        <scheme val="minor"/>
      </rPr>
      <t xml:space="preserve"> should be handled careful, it will be hidden tho, so you'll have to unhide it to set the terms to suite your need.</t>
    </r>
  </si>
  <si>
    <t>Choose how you want the savings rate (SR) to be calculated in the dashboard KPI tiles:
1) Active Option (% allocated to Savings):              SR=Savings/Income
2) Passive Option(% not allocated Expenses):         SR = (Income - Expenses)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</si>
</sst>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_(* #,##0.00_);_(* \(#,##0.00\);_(* &quot;-&quot;??_);_(@_)"/>
    <numFmt numFmtId="165" formatCode="_ &quot;₹&quot;\ * #,##0_ ;_ &quot;₹&quot;\ * \-#,##0_ ;_ &quot;₹&quot;\ * &quot;-&quot;_ ;_ @_ "/>
    <numFmt numFmtId="166" formatCode="_ * #,##0_ ;_ * \-#,##0_ ;_ * &quot;-&quot;_ ;_ @_ "/>
    <numFmt numFmtId="167" formatCode="_ &quot;₹&quot;\ * #,##0.00_ ;_ &quot;₹&quot;\ * \-#,##0.00_ ;_ &quot;₹&quot;\ * &quot;-&quot;??_ ;_ @_ "/>
    <numFmt numFmtId="168" formatCode="mmm"/>
    <numFmt numFmtId="169" formatCode="_(* #,##0.0_);_(* \(#,##0.0\);_(* &quot;-&quot;??_);_(@_)"/>
    <numFmt numFmtId="170" formatCode="_(* #,##0_);_(* \(#,##0\);_(* &quot;-&quot;??_);_(@_)"/>
    <numFmt numFmtId="171" formatCode="_(* #,##0.0_);_(* \(#,##0.0\);_(* &quot;-&quot;?_);_(@_)"/>
    <numFmt numFmtId="172" formatCode="d\-mmm\-yy"/>
    <numFmt numFmtId="173" formatCode="mmmm"/>
    <numFmt numFmtId="174" formatCode="0.0%"/>
    <numFmt numFmtId="175" formatCode="_-* #,##0.0_-;\-* #,##0.0_-;_-* &quot;-&quot;?_-;_-@_-"/>
  </numFmts>
  <fonts count="58" x14ac:knownFonts="1">
    <font>
      <sz val="1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sz val="11"/>
      <color theme="1"/>
      <name val="Lucida Sans"/>
      <family val="2"/>
      <scheme val="minor"/>
    </font>
    <font>
      <b/>
      <sz val="24"/>
      <color theme="5" tint="-0.24994659260841701"/>
      <name val="Cambria"/>
      <family val="2"/>
      <scheme val="major"/>
    </font>
    <font>
      <b/>
      <sz val="14"/>
      <color theme="3" tint="0.24994659260841701"/>
      <name val="Cambria"/>
      <family val="2"/>
      <scheme val="major"/>
    </font>
    <font>
      <b/>
      <sz val="11"/>
      <color theme="3" tint="0.24994659260841701"/>
      <name val="Cambria"/>
      <family val="2"/>
      <scheme val="major"/>
    </font>
    <font>
      <b/>
      <sz val="12"/>
      <color theme="3" tint="0.24994659260841701"/>
      <name val="Cambria"/>
      <family val="2"/>
      <scheme val="major"/>
    </font>
    <font>
      <sz val="36"/>
      <color theme="3" tint="0.24994659260841701"/>
      <name val="Cambria"/>
      <family val="2"/>
      <scheme val="major"/>
    </font>
    <font>
      <b/>
      <sz val="11"/>
      <color theme="1"/>
      <name val="Lucida Sans"/>
      <family val="2"/>
      <scheme val="minor"/>
    </font>
    <font>
      <sz val="11"/>
      <name val="Lucida Sans"/>
      <family val="2"/>
      <scheme val="minor"/>
    </font>
    <font>
      <i/>
      <sz val="11"/>
      <color theme="1" tint="0.34998626667073579"/>
      <name val="Lucida Sans"/>
      <family val="2"/>
      <scheme val="minor"/>
    </font>
    <font>
      <b/>
      <sz val="16"/>
      <color theme="3" tint="0.89996032593768116"/>
      <name val="Lucida Sans"/>
      <family val="2"/>
      <scheme val="minor"/>
    </font>
    <font>
      <b/>
      <sz val="12"/>
      <color theme="3" tint="0.89996032593768116"/>
      <name val="Lucida Sans"/>
      <family val="2"/>
      <scheme val="minor"/>
    </font>
    <font>
      <b/>
      <sz val="12"/>
      <color theme="3" tint="0.89992980742820516"/>
      <name val="Lucida Sans"/>
      <family val="2"/>
      <scheme val="minor"/>
    </font>
    <font>
      <sz val="11"/>
      <color rgb="FF006100"/>
      <name val="Lucida Sans"/>
      <family val="2"/>
      <scheme val="minor"/>
    </font>
    <font>
      <sz val="11"/>
      <color rgb="FF9C0006"/>
      <name val="Lucida Sans"/>
      <family val="2"/>
      <scheme val="minor"/>
    </font>
    <font>
      <sz val="11"/>
      <color rgb="FF9C5700"/>
      <name val="Lucida Sans"/>
      <family val="2"/>
      <scheme val="minor"/>
    </font>
    <font>
      <sz val="11"/>
      <color rgb="FF3F3F76"/>
      <name val="Lucida Sans"/>
      <family val="2"/>
      <scheme val="minor"/>
    </font>
    <font>
      <b/>
      <sz val="11"/>
      <color rgb="FF3F3F3F"/>
      <name val="Lucida Sans"/>
      <family val="2"/>
      <scheme val="minor"/>
    </font>
    <font>
      <b/>
      <sz val="11"/>
      <color rgb="FFFA7D00"/>
      <name val="Lucida Sans"/>
      <family val="2"/>
      <scheme val="minor"/>
    </font>
    <font>
      <sz val="11"/>
      <color rgb="FFFA7D00"/>
      <name val="Lucida Sans"/>
      <family val="2"/>
      <scheme val="minor"/>
    </font>
    <font>
      <b/>
      <sz val="11"/>
      <color theme="0"/>
      <name val="Lucida Sans"/>
      <family val="2"/>
      <scheme val="minor"/>
    </font>
    <font>
      <sz val="11"/>
      <color rgb="FFFF0000"/>
      <name val="Lucida Sans"/>
      <family val="2"/>
      <scheme val="minor"/>
    </font>
    <font>
      <sz val="11"/>
      <color theme="0"/>
      <name val="Lucida Sans"/>
      <family val="2"/>
      <scheme val="minor"/>
    </font>
    <font>
      <sz val="11"/>
      <color rgb="FF002060"/>
      <name val="Lucida Sans"/>
      <family val="2"/>
      <scheme val="minor"/>
    </font>
    <font>
      <b/>
      <sz val="11"/>
      <name val="Lucida Sans"/>
      <family val="2"/>
      <scheme val="minor"/>
    </font>
    <font>
      <i/>
      <sz val="9"/>
      <color theme="0" tint="-0.34998626667073579"/>
      <name val="Lucida Sans"/>
      <family val="2"/>
      <scheme val="minor"/>
    </font>
    <font>
      <b/>
      <sz val="10"/>
      <name val="Lucida Sans"/>
      <family val="2"/>
      <scheme val="minor"/>
    </font>
    <font>
      <b/>
      <sz val="10"/>
      <color theme="0"/>
      <name val="Lucida Sans"/>
      <family val="2"/>
      <scheme val="minor"/>
    </font>
    <font>
      <sz val="10"/>
      <color theme="0" tint="-0.34998626667073579"/>
      <name val="Lucida Sans"/>
      <family val="2"/>
      <scheme val="minor"/>
    </font>
    <font>
      <sz val="11"/>
      <color theme="0" tint="-0.34998626667073579"/>
      <name val="Lucida Sans"/>
      <family val="2"/>
      <scheme val="minor"/>
    </font>
    <font>
      <b/>
      <sz val="11"/>
      <color theme="0" tint="-0.34998626667073579"/>
      <name val="Lucida Sans"/>
      <family val="2"/>
      <scheme val="minor"/>
    </font>
    <font>
      <i/>
      <sz val="10"/>
      <color theme="0" tint="-0.499984740745262"/>
      <name val="Lucida Sans"/>
      <family val="2"/>
      <scheme val="minor"/>
    </font>
    <font>
      <sz val="10"/>
      <name val="Lucida Sans"/>
      <family val="2"/>
      <scheme val="minor"/>
    </font>
    <font>
      <sz val="10"/>
      <color theme="1"/>
      <name val="Lucida Sans"/>
      <family val="2"/>
      <scheme val="minor"/>
    </font>
    <font>
      <sz val="11"/>
      <color theme="0" tint="-0.499984740745262"/>
      <name val="Lucida Sans"/>
      <family val="2"/>
      <scheme val="minor"/>
    </font>
    <font>
      <b/>
      <sz val="10"/>
      <color rgb="FF0070C0"/>
      <name val="Lucida Sans"/>
      <family val="2"/>
      <scheme val="minor"/>
    </font>
    <font>
      <sz val="11"/>
      <color theme="0" tint="-0.249977111117893"/>
      <name val="Lucida Sans"/>
      <family val="2"/>
      <scheme val="minor"/>
    </font>
    <font>
      <b/>
      <sz val="12"/>
      <color theme="0"/>
      <name val="Lucida Sans"/>
      <family val="2"/>
      <scheme val="minor"/>
    </font>
    <font>
      <i/>
      <sz val="11"/>
      <color theme="0" tint="-0.249977111117893"/>
      <name val="Lucida Sans"/>
      <family val="2"/>
      <scheme val="minor"/>
    </font>
    <font>
      <b/>
      <sz val="12"/>
      <color rgb="FF002060"/>
      <name val="Lucida Sans"/>
      <family val="2"/>
      <scheme val="minor"/>
    </font>
    <font>
      <sz val="9"/>
      <name val="Lucida Sans"/>
      <family val="2"/>
      <scheme val="minor"/>
    </font>
    <font>
      <sz val="8"/>
      <color theme="1"/>
      <name val="Lucida Sans"/>
      <family val="2"/>
      <scheme val="minor"/>
    </font>
    <font>
      <b/>
      <sz val="11"/>
      <color rgb="FF00B0F0"/>
      <name val="Lucida Sans"/>
      <family val="2"/>
      <scheme val="minor"/>
    </font>
    <font>
      <sz val="8"/>
      <name val="Lucida Sans"/>
      <family val="2"/>
      <scheme val="minor"/>
    </font>
    <font>
      <sz val="9"/>
      <color theme="1"/>
      <name val="Lucida Sans"/>
      <family val="2"/>
      <scheme val="minor"/>
    </font>
    <font>
      <b/>
      <sz val="9"/>
      <color theme="1"/>
      <name val="Lucida Sans"/>
      <family val="2"/>
      <scheme val="minor"/>
    </font>
    <font>
      <sz val="11"/>
      <color theme="1" tint="4.9989318521683403E-2"/>
      <name val="Lucida Sans"/>
      <family val="2"/>
      <scheme val="minor"/>
    </font>
    <font>
      <i/>
      <sz val="11"/>
      <color theme="0" tint="-0.499984740745262"/>
      <name val="Lucida Sans"/>
      <family val="2"/>
      <scheme val="minor"/>
    </font>
    <font>
      <b/>
      <i/>
      <sz val="11"/>
      <color theme="0" tint="-0.499984740745262"/>
      <name val="Lucida Sans"/>
      <family val="2"/>
      <scheme val="minor"/>
    </font>
    <font>
      <sz val="8"/>
      <color rgb="FF000000"/>
      <name val="Segoe UI"/>
      <family val="2"/>
      <charset val="238"/>
    </font>
    <font>
      <b/>
      <sz val="14"/>
      <color theme="0"/>
      <name val="Lucida Sans"/>
      <family val="2"/>
      <scheme val="minor"/>
    </font>
    <font>
      <sz val="14"/>
      <name val="Lucida Sans"/>
      <family val="2"/>
      <scheme val="minor"/>
    </font>
    <font>
      <i/>
      <sz val="10"/>
      <color theme="0" tint="-0.34998626667073579"/>
      <name val="Lucida Sans"/>
      <family val="2"/>
      <scheme val="minor"/>
    </font>
    <font>
      <b/>
      <i/>
      <sz val="10"/>
      <color theme="0" tint="-0.34998626667073579"/>
      <name val="Lucida Sans"/>
      <family val="2"/>
      <scheme val="minor"/>
    </font>
    <font>
      <i/>
      <sz val="11"/>
      <name val="Lucida Sans"/>
      <family val="2"/>
      <scheme val="minor"/>
    </font>
  </fonts>
  <fills count="44">
    <fill>
      <patternFill patternType="none"/>
    </fill>
    <fill>
      <patternFill patternType="gray125"/>
    </fill>
    <fill>
      <patternFill patternType="solid">
        <fgColor theme="3" tint="0.24994659260841701"/>
        <bgColor indexed="64"/>
      </patternFill>
    </fill>
    <fill>
      <patternFill patternType="solid">
        <fgColor theme="2"/>
        <bgColor indexed="64"/>
      </patternFill>
    </fill>
    <fill>
      <patternFill patternType="solid">
        <fgColor theme="4" tint="0.79998168889431442"/>
        <bgColor indexed="64"/>
      </patternFill>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5"/>
        <bgColor indexed="64"/>
      </patternFill>
    </fill>
    <fill>
      <patternFill patternType="solid">
        <fgColor rgb="FFFF0066"/>
        <bgColor indexed="64"/>
      </patternFill>
    </fill>
    <fill>
      <patternFill patternType="solid">
        <fgColor rgb="FF00B0F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42B34B"/>
        <bgColor indexed="64"/>
      </patternFill>
    </fill>
  </fills>
  <borders count="38">
    <border>
      <left/>
      <right/>
      <top/>
      <bottom/>
      <diagonal/>
    </border>
    <border>
      <left/>
      <right/>
      <top/>
      <bottom style="thin">
        <color theme="3" tint="0.24994659260841701"/>
      </bottom>
      <diagonal/>
    </border>
    <border>
      <left/>
      <right/>
      <top/>
      <bottom style="medium">
        <color theme="3" tint="0.2499465926084170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dashed">
        <color theme="3" tint="0.24994659260841701"/>
      </bottom>
      <diagonal/>
    </border>
    <border>
      <left/>
      <right/>
      <top style="thin">
        <color theme="4" tint="-0.499984740745262"/>
      </top>
      <bottom style="double">
        <color theme="4" tint="-0.499984740745262"/>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diagonal/>
    </border>
    <border>
      <left/>
      <right/>
      <top/>
      <bottom style="dotted">
        <color theme="0" tint="-0.24994659260841701"/>
      </bottom>
      <diagonal/>
    </border>
    <border>
      <left style="thin">
        <color theme="0" tint="-0.34998626667073579"/>
      </left>
      <right style="thin">
        <color theme="0" tint="-0.34998626667073579"/>
      </right>
      <top/>
      <bottom/>
      <diagonal/>
    </border>
    <border>
      <left/>
      <right/>
      <top style="thin">
        <color auto="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auto="1"/>
      </top>
      <bottom style="thin">
        <color auto="1"/>
      </bottom>
      <diagonal/>
    </border>
    <border>
      <left/>
      <right/>
      <top/>
      <bottom style="thin">
        <color indexed="64"/>
      </bottom>
      <diagonal/>
    </border>
    <border>
      <left/>
      <right/>
      <top style="dotted">
        <color auto="1"/>
      </top>
      <bottom style="double">
        <color auto="1"/>
      </bottom>
      <diagonal/>
    </border>
    <border>
      <left/>
      <right/>
      <top style="hair">
        <color auto="1"/>
      </top>
      <bottom/>
      <diagonal/>
    </border>
  </borders>
  <cellStyleXfs count="50">
    <xf numFmtId="0" fontId="0" fillId="3" borderId="0">
      <alignment vertical="center" wrapText="1"/>
    </xf>
    <xf numFmtId="0" fontId="13" fillId="2" borderId="0" applyNumberFormat="0" applyProtection="0">
      <alignment vertical="center"/>
    </xf>
    <xf numFmtId="0" fontId="5" fillId="2" borderId="0" applyNumberFormat="0" applyFill="0" applyProtection="0">
      <alignment horizontal="left" vertical="center"/>
    </xf>
    <xf numFmtId="0" fontId="6" fillId="0" borderId="1" applyNumberFormat="0" applyFill="0" applyProtection="0"/>
    <xf numFmtId="0" fontId="7" fillId="0" borderId="4" applyNumberFormat="0" applyFill="0" applyProtection="0">
      <alignment vertical="center"/>
    </xf>
    <xf numFmtId="0" fontId="8" fillId="4" borderId="2" applyNumberFormat="0" applyProtection="0">
      <alignment horizontal="left"/>
    </xf>
    <xf numFmtId="0" fontId="9" fillId="3" borderId="0" applyNumberFormat="0" applyBorder="0" applyAlignment="0" applyProtection="0"/>
    <xf numFmtId="164" fontId="11" fillId="0" borderId="0" applyFill="0" applyBorder="0" applyAlignment="0" applyProtection="0"/>
    <xf numFmtId="166" fontId="11" fillId="0" borderId="0" applyFill="0" applyBorder="0" applyAlignment="0" applyProtection="0"/>
    <xf numFmtId="167" fontId="11" fillId="0" borderId="0" applyFill="0" applyBorder="0" applyAlignment="0" applyProtection="0"/>
    <xf numFmtId="165" fontId="11" fillId="0" borderId="0" applyFill="0" applyBorder="0" applyAlignment="0" applyProtection="0"/>
    <xf numFmtId="9" fontId="11" fillId="0" borderId="0" applyFill="0" applyBorder="0" applyAlignment="0" applyProtection="0"/>
    <xf numFmtId="0" fontId="11" fillId="5" borderId="3" applyNumberFormat="0" applyAlignment="0" applyProtection="0"/>
    <xf numFmtId="0" fontId="12" fillId="0" borderId="0" applyNumberFormat="0" applyFill="0" applyBorder="0" applyAlignment="0" applyProtection="0"/>
    <xf numFmtId="0" fontId="10" fillId="0" borderId="5" applyNumberFormat="0" applyFill="0" applyAlignment="0" applyProtection="0"/>
    <xf numFmtId="0" fontId="14" fillId="2" borderId="6" applyNumberFormat="0" applyProtection="0">
      <alignment horizontal="center" vertical="center" wrapText="1"/>
    </xf>
    <xf numFmtId="0" fontId="15" fillId="2" borderId="6" applyNumberFormat="0" applyProtection="0">
      <alignment horizontal="center" vertical="center" wrapText="1"/>
    </xf>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7" applyNumberFormat="0" applyAlignment="0" applyProtection="0"/>
    <xf numFmtId="0" fontId="20" fillId="10" borderId="8" applyNumberFormat="0" applyAlignment="0" applyProtection="0"/>
    <xf numFmtId="0" fontId="21" fillId="10" borderId="7" applyNumberFormat="0" applyAlignment="0" applyProtection="0"/>
    <xf numFmtId="0" fontId="22" fillId="0" borderId="9" applyNumberFormat="0" applyFill="0" applyAlignment="0" applyProtection="0"/>
    <xf numFmtId="0" fontId="23" fillId="11" borderId="10" applyNumberFormat="0" applyAlignment="0" applyProtection="0"/>
    <xf numFmtId="0" fontId="24" fillId="0" borderId="0" applyNumberFormat="0" applyFill="0" applyBorder="0" applyAlignment="0" applyProtection="0"/>
    <xf numFmtId="0" fontId="25"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25"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25"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25"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25"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25"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cellStyleXfs>
  <cellXfs count="168">
    <xf numFmtId="0" fontId="0" fillId="3" borderId="0" xfId="0">
      <alignment vertical="center" wrapText="1"/>
    </xf>
    <xf numFmtId="0" fontId="26" fillId="36" borderId="0" xfId="0" applyFont="1" applyFill="1">
      <alignment vertical="center" wrapText="1"/>
    </xf>
    <xf numFmtId="0" fontId="25" fillId="36" borderId="0" xfId="0" applyFont="1" applyFill="1" applyAlignment="1">
      <alignment horizontal="center" vertical="center" wrapText="1"/>
    </xf>
    <xf numFmtId="0" fontId="0" fillId="36" borderId="0" xfId="0" applyFill="1">
      <alignment vertical="center" wrapText="1"/>
    </xf>
    <xf numFmtId="0" fontId="0" fillId="3" borderId="0" xfId="0" applyBorder="1">
      <alignment vertical="center" wrapText="1"/>
    </xf>
    <xf numFmtId="0" fontId="0" fillId="3" borderId="13" xfId="0" applyBorder="1">
      <alignment vertical="center" wrapText="1"/>
    </xf>
    <xf numFmtId="0" fontId="0" fillId="3" borderId="11" xfId="0" applyBorder="1">
      <alignment vertical="center" wrapText="1"/>
    </xf>
    <xf numFmtId="0" fontId="0" fillId="3" borderId="12" xfId="0" applyBorder="1">
      <alignment vertical="center" wrapText="1"/>
    </xf>
    <xf numFmtId="0" fontId="27" fillId="3" borderId="0" xfId="0" applyFont="1" applyBorder="1">
      <alignment vertical="center" wrapText="1"/>
    </xf>
    <xf numFmtId="0" fontId="28" fillId="3" borderId="0" xfId="0" applyFont="1" applyBorder="1">
      <alignment vertical="center" wrapText="1"/>
    </xf>
    <xf numFmtId="0" fontId="28" fillId="3" borderId="0" xfId="0" applyFont="1" applyAlignment="1">
      <alignment horizontal="right" vertical="center" wrapText="1"/>
    </xf>
    <xf numFmtId="0" fontId="27" fillId="3" borderId="0" xfId="0" applyFont="1" applyAlignment="1">
      <alignment horizontal="left" vertical="center" wrapText="1"/>
    </xf>
    <xf numFmtId="0" fontId="27" fillId="3" borderId="14" xfId="0" applyFont="1" applyBorder="1" applyAlignment="1">
      <alignment horizontal="left" vertical="center" wrapText="1"/>
    </xf>
    <xf numFmtId="0" fontId="30" fillId="37" borderId="0" xfId="0" applyFont="1" applyFill="1" applyAlignment="1">
      <alignment horizontal="center" vertical="center" wrapText="1"/>
    </xf>
    <xf numFmtId="168" fontId="30" fillId="37" borderId="0" xfId="0" applyNumberFormat="1" applyFont="1" applyFill="1" applyAlignment="1">
      <alignment horizontal="center" vertical="center" wrapText="1"/>
    </xf>
    <xf numFmtId="0" fontId="31" fillId="3" borderId="0" xfId="0" applyFont="1" applyAlignment="1">
      <alignment horizontal="left" vertical="center" wrapText="1"/>
    </xf>
    <xf numFmtId="0" fontId="32" fillId="3" borderId="0" xfId="0" applyFont="1">
      <alignment vertical="center" wrapText="1"/>
    </xf>
    <xf numFmtId="169" fontId="32" fillId="3" borderId="14" xfId="7" applyNumberFormat="1" applyFont="1" applyFill="1" applyBorder="1" applyAlignment="1">
      <alignment vertical="center" wrapText="1"/>
    </xf>
    <xf numFmtId="170" fontId="32" fillId="3" borderId="14" xfId="7" applyNumberFormat="1" applyFont="1" applyFill="1" applyBorder="1" applyAlignment="1">
      <alignment vertical="center" wrapText="1"/>
    </xf>
    <xf numFmtId="169" fontId="27" fillId="3" borderId="14" xfId="7" applyNumberFormat="1" applyFont="1" applyFill="1" applyBorder="1" applyAlignment="1">
      <alignment vertical="center" wrapText="1"/>
    </xf>
    <xf numFmtId="169" fontId="33" fillId="3" borderId="14" xfId="7" applyNumberFormat="1" applyFont="1" applyFill="1" applyBorder="1" applyAlignment="1">
      <alignment vertical="center" wrapText="1"/>
    </xf>
    <xf numFmtId="168" fontId="30" fillId="38" borderId="0" xfId="0" applyNumberFormat="1" applyFont="1" applyFill="1" applyAlignment="1">
      <alignment horizontal="center" vertical="center" wrapText="1"/>
    </xf>
    <xf numFmtId="0" fontId="30" fillId="38" borderId="0" xfId="0" applyFont="1" applyFill="1" applyAlignment="1">
      <alignment horizontal="center" vertical="center" wrapText="1"/>
    </xf>
    <xf numFmtId="168" fontId="30" fillId="39" borderId="0" xfId="0" applyNumberFormat="1" applyFont="1" applyFill="1" applyAlignment="1">
      <alignment horizontal="center" vertical="center" wrapText="1"/>
    </xf>
    <xf numFmtId="0" fontId="30" fillId="39" borderId="0" xfId="0" applyFont="1" applyFill="1" applyAlignment="1">
      <alignment horizontal="center" vertical="center" wrapText="1"/>
    </xf>
    <xf numFmtId="0" fontId="34" fillId="3" borderId="0" xfId="0" applyFont="1" applyAlignment="1">
      <alignment horizontal="right" vertical="center" wrapText="1"/>
    </xf>
    <xf numFmtId="171" fontId="0" fillId="3" borderId="14" xfId="0" applyNumberFormat="1" applyBorder="1">
      <alignment vertical="center" wrapText="1"/>
    </xf>
    <xf numFmtId="0" fontId="29" fillId="3" borderId="14" xfId="0" applyFont="1" applyBorder="1" applyAlignment="1">
      <alignment horizontal="center" wrapText="1"/>
    </xf>
    <xf numFmtId="0" fontId="0" fillId="3" borderId="15" xfId="0" applyBorder="1">
      <alignment vertical="center" wrapText="1"/>
    </xf>
    <xf numFmtId="0" fontId="0" fillId="3" borderId="0" xfId="0" applyAlignment="1">
      <alignment horizontal="left" vertical="center" wrapText="1"/>
    </xf>
    <xf numFmtId="172" fontId="35" fillId="3" borderId="0" xfId="0" applyNumberFormat="1" applyFont="1" applyAlignment="1">
      <alignment horizontal="left" vertical="center" wrapText="1" indent="1"/>
    </xf>
    <xf numFmtId="172" fontId="0" fillId="3" borderId="0" xfId="0" applyNumberFormat="1" applyAlignment="1">
      <alignment horizontal="left" vertical="center" wrapText="1" indent="1"/>
    </xf>
    <xf numFmtId="169" fontId="11" fillId="3" borderId="0" xfId="7" applyNumberFormat="1" applyFill="1" applyAlignment="1">
      <alignment horizontal="left" vertical="center" wrapText="1" indent="1"/>
    </xf>
    <xf numFmtId="0" fontId="37" fillId="3" borderId="0" xfId="0" applyFont="1" applyAlignment="1">
      <alignment horizontal="left" vertical="center" wrapText="1" indent="1"/>
    </xf>
    <xf numFmtId="0" fontId="0" fillId="40" borderId="0" xfId="0" applyFill="1" applyAlignment="1">
      <alignment horizontal="left" vertical="center" wrapText="1"/>
    </xf>
    <xf numFmtId="169" fontId="37" fillId="3" borderId="0" xfId="7" applyNumberFormat="1" applyFont="1" applyFill="1" applyAlignment="1">
      <alignment horizontal="left" vertical="center" wrapText="1" indent="1"/>
    </xf>
    <xf numFmtId="0" fontId="35" fillId="3" borderId="0" xfId="0" applyFont="1" applyBorder="1" applyAlignment="1">
      <alignment horizontal="left" vertical="center" wrapText="1"/>
    </xf>
    <xf numFmtId="0" fontId="38" fillId="3" borderId="0" xfId="0" applyFont="1" applyBorder="1" applyAlignment="1">
      <alignment horizontal="left" vertical="center" wrapText="1"/>
    </xf>
    <xf numFmtId="0" fontId="29" fillId="3" borderId="0" xfId="0" applyFont="1" applyBorder="1" applyAlignment="1">
      <alignment horizontal="left" vertical="center" wrapText="1" indent="1"/>
    </xf>
    <xf numFmtId="0" fontId="0" fillId="3" borderId="16" xfId="0" applyBorder="1">
      <alignment vertical="center" wrapText="1"/>
    </xf>
    <xf numFmtId="0" fontId="0" fillId="41" borderId="0" xfId="0" applyFont="1" applyFill="1" applyBorder="1" applyAlignment="1">
      <alignment horizontal="center" vertical="center" wrapText="1"/>
    </xf>
    <xf numFmtId="172" fontId="39" fillId="3" borderId="0" xfId="0" applyNumberFormat="1" applyFont="1" applyAlignment="1">
      <alignment horizontal="right" wrapText="1" indent="1"/>
    </xf>
    <xf numFmtId="172" fontId="0" fillId="3" borderId="0" xfId="0" applyNumberFormat="1">
      <alignment vertical="center" wrapText="1"/>
    </xf>
    <xf numFmtId="0" fontId="0" fillId="3" borderId="0" xfId="0" applyAlignment="1">
      <alignment horizontal="right" vertical="center" wrapText="1"/>
    </xf>
    <xf numFmtId="169" fontId="11" fillId="3" borderId="0" xfId="7" applyNumberFormat="1" applyFill="1" applyAlignment="1">
      <alignment vertical="center" wrapText="1"/>
    </xf>
    <xf numFmtId="0" fontId="25" fillId="3" borderId="0" xfId="0" applyFont="1">
      <alignment vertical="center" wrapText="1"/>
    </xf>
    <xf numFmtId="0" fontId="25" fillId="36" borderId="0" xfId="0" applyFont="1" applyFill="1">
      <alignment vertical="center" wrapText="1"/>
    </xf>
    <xf numFmtId="0" fontId="40" fillId="36" borderId="0" xfId="0" applyFont="1" applyFill="1" applyAlignment="1">
      <alignment horizontal="center" vertical="center" wrapText="1"/>
    </xf>
    <xf numFmtId="0" fontId="0" fillId="41" borderId="0" xfId="0" applyFill="1">
      <alignment vertical="center" wrapText="1"/>
    </xf>
    <xf numFmtId="0" fontId="3" fillId="3" borderId="0" xfId="0" applyFont="1">
      <alignment vertical="center" wrapText="1"/>
    </xf>
    <xf numFmtId="0" fontId="0" fillId="3" borderId="21" xfId="0" applyBorder="1" applyAlignment="1">
      <alignment horizontal="center" vertical="center" wrapText="1"/>
    </xf>
    <xf numFmtId="0" fontId="0" fillId="3" borderId="20" xfId="0" applyBorder="1" applyAlignment="1">
      <alignment horizontal="center" vertical="center" wrapText="1"/>
    </xf>
    <xf numFmtId="15" fontId="43" fillId="3" borderId="0" xfId="0" applyNumberFormat="1" applyFont="1" applyAlignment="1">
      <alignment horizontal="center" vertical="center" wrapText="1"/>
    </xf>
    <xf numFmtId="0" fontId="43" fillId="3" borderId="23" xfId="0" applyFont="1" applyBorder="1" applyAlignment="1">
      <alignment horizontal="center" vertical="center" wrapText="1"/>
    </xf>
    <xf numFmtId="173" fontId="43" fillId="3" borderId="23" xfId="0" applyNumberFormat="1" applyFont="1" applyBorder="1" applyAlignment="1">
      <alignment horizontal="center" vertical="center" wrapText="1"/>
    </xf>
    <xf numFmtId="173" fontId="43" fillId="3" borderId="22" xfId="0" applyNumberFormat="1" applyFont="1" applyBorder="1" applyAlignment="1">
      <alignment horizontal="center" vertical="center" wrapText="1"/>
    </xf>
    <xf numFmtId="0" fontId="0" fillId="3" borderId="24" xfId="0" applyBorder="1">
      <alignment vertical="center" wrapText="1"/>
    </xf>
    <xf numFmtId="0" fontId="44" fillId="41" borderId="0" xfId="0" applyFont="1" applyFill="1" applyAlignment="1">
      <alignment horizontal="center" vertical="center" wrapText="1"/>
    </xf>
    <xf numFmtId="0" fontId="3" fillId="3" borderId="15" xfId="0" applyFont="1" applyBorder="1">
      <alignment vertical="center" wrapText="1"/>
    </xf>
    <xf numFmtId="0" fontId="3" fillId="3" borderId="13" xfId="0" applyFont="1" applyBorder="1">
      <alignment vertical="center" wrapText="1"/>
    </xf>
    <xf numFmtId="0" fontId="3" fillId="3" borderId="0" xfId="0" applyFont="1" applyBorder="1">
      <alignment vertical="center" wrapText="1"/>
    </xf>
    <xf numFmtId="169" fontId="11" fillId="3" borderId="0" xfId="7" applyNumberFormat="1" applyFill="1" applyBorder="1" applyAlignment="1">
      <alignment vertical="center" wrapText="1"/>
    </xf>
    <xf numFmtId="0" fontId="2" fillId="3" borderId="0" xfId="0" applyFont="1">
      <alignment vertical="center" wrapText="1"/>
    </xf>
    <xf numFmtId="0" fontId="25" fillId="3" borderId="0" xfId="0" applyFont="1" applyBorder="1">
      <alignment vertical="center" wrapText="1"/>
    </xf>
    <xf numFmtId="0" fontId="44" fillId="41" borderId="0" xfId="0" applyFont="1" applyFill="1" applyBorder="1" applyAlignment="1">
      <alignment horizontal="center" vertical="center" wrapText="1"/>
    </xf>
    <xf numFmtId="0" fontId="44" fillId="41" borderId="15" xfId="0" applyFont="1" applyFill="1" applyBorder="1" applyAlignment="1">
      <alignment horizontal="center" vertical="center" wrapText="1"/>
    </xf>
    <xf numFmtId="0" fontId="44" fillId="41" borderId="13" xfId="0" applyFont="1" applyFill="1" applyBorder="1" applyAlignment="1">
      <alignment horizontal="center" vertical="center" wrapText="1"/>
    </xf>
    <xf numFmtId="0" fontId="2" fillId="3" borderId="15" xfId="0" applyFont="1" applyBorder="1">
      <alignment vertical="center" wrapText="1"/>
    </xf>
    <xf numFmtId="0" fontId="2" fillId="3" borderId="13" xfId="0" applyFont="1" applyBorder="1">
      <alignment vertical="center" wrapText="1"/>
    </xf>
    <xf numFmtId="0" fontId="2" fillId="3" borderId="0" xfId="0" applyFont="1" applyBorder="1">
      <alignment vertical="center" wrapText="1"/>
    </xf>
    <xf numFmtId="0" fontId="44" fillId="41" borderId="25" xfId="0" applyFont="1" applyFill="1" applyBorder="1" applyAlignment="1">
      <alignment horizontal="center" vertical="center" wrapText="1"/>
    </xf>
    <xf numFmtId="0" fontId="2" fillId="3" borderId="25" xfId="0" applyFont="1" applyBorder="1">
      <alignment vertical="center" wrapText="1"/>
    </xf>
    <xf numFmtId="0" fontId="40" fillId="36" borderId="0" xfId="0" applyFont="1" applyFill="1" applyAlignment="1">
      <alignment vertical="center" wrapText="1"/>
    </xf>
    <xf numFmtId="0" fontId="25" fillId="36" borderId="0" xfId="0" applyFont="1" applyFill="1" applyAlignment="1">
      <alignment horizontal="right" wrapText="1"/>
    </xf>
    <xf numFmtId="0" fontId="25" fillId="3" borderId="0" xfId="0" applyFont="1" applyAlignment="1">
      <alignment horizontal="right" wrapText="1"/>
    </xf>
    <xf numFmtId="0" fontId="2" fillId="3" borderId="0" xfId="0" applyFont="1" applyAlignment="1">
      <alignment horizontal="right" wrapText="1"/>
    </xf>
    <xf numFmtId="0" fontId="36" fillId="3" borderId="0" xfId="0" applyFont="1" applyAlignment="1">
      <alignment vertical="center" wrapText="1"/>
    </xf>
    <xf numFmtId="9" fontId="35" fillId="3" borderId="0" xfId="11" applyNumberFormat="1" applyFont="1" applyFill="1" applyAlignment="1">
      <alignment horizontal="center" vertical="center" wrapText="1"/>
    </xf>
    <xf numFmtId="169" fontId="11" fillId="3" borderId="0" xfId="7" applyNumberFormat="1" applyFill="1" applyAlignment="1">
      <alignment horizontal="center" vertical="center" wrapText="1"/>
    </xf>
    <xf numFmtId="0" fontId="25" fillId="3" borderId="27" xfId="0" applyFont="1" applyBorder="1">
      <alignment vertical="center" wrapText="1"/>
    </xf>
    <xf numFmtId="0" fontId="25" fillId="3" borderId="19" xfId="0" applyFont="1" applyBorder="1">
      <alignment vertical="center" wrapText="1"/>
    </xf>
    <xf numFmtId="0" fontId="25" fillId="3" borderId="28" xfId="0" applyFont="1" applyBorder="1">
      <alignment vertical="center" wrapText="1"/>
    </xf>
    <xf numFmtId="0" fontId="25" fillId="3" borderId="29" xfId="0" applyFont="1" applyBorder="1">
      <alignment vertical="center" wrapText="1"/>
    </xf>
    <xf numFmtId="0" fontId="25" fillId="3" borderId="30" xfId="0" applyFont="1" applyBorder="1">
      <alignment vertical="center" wrapText="1"/>
    </xf>
    <xf numFmtId="0" fontId="25" fillId="3" borderId="31" xfId="0" applyFont="1" applyBorder="1">
      <alignment vertical="center" wrapText="1"/>
    </xf>
    <xf numFmtId="0" fontId="25" fillId="3" borderId="32" xfId="0" applyFont="1" applyBorder="1">
      <alignment vertical="center" wrapText="1"/>
    </xf>
    <xf numFmtId="0" fontId="25" fillId="3" borderId="33" xfId="0" applyFont="1" applyBorder="1">
      <alignment vertical="center" wrapText="1"/>
    </xf>
    <xf numFmtId="0" fontId="0" fillId="3" borderId="34" xfId="0" applyBorder="1">
      <alignment vertical="center" wrapText="1"/>
    </xf>
    <xf numFmtId="0" fontId="27" fillId="3" borderId="35" xfId="0" applyFont="1" applyBorder="1" applyAlignment="1">
      <alignment horizontal="center" vertical="center" wrapText="1"/>
    </xf>
    <xf numFmtId="0" fontId="0" fillId="3" borderId="0" xfId="0" applyAlignment="1">
      <alignment horizontal="center" vertical="center" wrapText="1"/>
    </xf>
    <xf numFmtId="0" fontId="0" fillId="3" borderId="36" xfId="0" applyBorder="1" applyAlignment="1">
      <alignment horizontal="center" vertical="center" wrapText="1"/>
    </xf>
    <xf numFmtId="0" fontId="27" fillId="3" borderId="0" xfId="0" applyFont="1" applyAlignment="1">
      <alignment horizontal="center" vertical="center" wrapText="1"/>
    </xf>
    <xf numFmtId="169" fontId="11" fillId="3" borderId="36" xfId="7" applyNumberFormat="1" applyFill="1" applyBorder="1" applyAlignment="1">
      <alignment horizontal="center" vertical="center" wrapText="1"/>
    </xf>
    <xf numFmtId="0" fontId="25" fillId="36" borderId="0" xfId="0" applyFont="1" applyFill="1" applyBorder="1">
      <alignment vertical="center" wrapText="1"/>
    </xf>
    <xf numFmtId="169" fontId="11" fillId="3" borderId="0" xfId="7" applyNumberFormat="1" applyFill="1" applyBorder="1" applyAlignment="1">
      <alignment horizontal="center" vertical="center" wrapText="1"/>
    </xf>
    <xf numFmtId="0" fontId="1" fillId="3" borderId="0" xfId="0" applyFont="1" applyBorder="1">
      <alignment vertical="center" wrapText="1"/>
    </xf>
    <xf numFmtId="0" fontId="47" fillId="3" borderId="0" xfId="0" applyFont="1" applyBorder="1" applyAlignment="1">
      <alignment horizontal="left" vertical="center" wrapText="1" indent="1"/>
    </xf>
    <xf numFmtId="0" fontId="48" fillId="3" borderId="37" xfId="0" applyFont="1" applyBorder="1" applyAlignment="1">
      <alignment horizontal="left" vertical="center" wrapText="1" indent="1"/>
    </xf>
    <xf numFmtId="169" fontId="27" fillId="3" borderId="37" xfId="7" applyNumberFormat="1" applyFont="1" applyFill="1" applyBorder="1" applyAlignment="1">
      <alignment vertical="center" wrapText="1"/>
    </xf>
    <xf numFmtId="169" fontId="27" fillId="3" borderId="0" xfId="7" applyNumberFormat="1" applyFont="1" applyFill="1" applyAlignment="1">
      <alignment horizontal="center" vertical="center" wrapText="1"/>
    </xf>
    <xf numFmtId="0" fontId="1" fillId="3" borderId="0" xfId="0" applyFont="1" applyAlignment="1">
      <alignment horizontal="center" vertical="center" wrapText="1"/>
    </xf>
    <xf numFmtId="0" fontId="0" fillId="3" borderId="26" xfId="0" applyBorder="1" applyAlignment="1">
      <alignment horizontal="center" vertical="center" wrapText="1"/>
    </xf>
    <xf numFmtId="0" fontId="0" fillId="3" borderId="0" xfId="0" applyBorder="1" applyAlignment="1">
      <alignment horizontal="center" vertical="center" wrapText="1"/>
    </xf>
    <xf numFmtId="0" fontId="0" fillId="3" borderId="35" xfId="0" applyBorder="1" applyAlignment="1">
      <alignment horizontal="center" vertical="center" wrapText="1"/>
    </xf>
    <xf numFmtId="169" fontId="11" fillId="3" borderId="26" xfId="7" applyNumberFormat="1" applyFill="1" applyBorder="1" applyAlignment="1">
      <alignment horizontal="center" vertical="center" wrapText="1"/>
    </xf>
    <xf numFmtId="0" fontId="29" fillId="3" borderId="0" xfId="0" applyFont="1">
      <alignment vertical="center" wrapText="1"/>
    </xf>
    <xf numFmtId="0" fontId="35" fillId="3" borderId="0" xfId="0" applyFont="1">
      <alignment vertical="center" wrapText="1"/>
    </xf>
    <xf numFmtId="169" fontId="11" fillId="3" borderId="35" xfId="7" applyNumberFormat="1" applyFill="1" applyBorder="1" applyAlignment="1">
      <alignment horizontal="center" vertical="center" wrapText="1"/>
    </xf>
    <xf numFmtId="169" fontId="0" fillId="3" borderId="0" xfId="7" applyNumberFormat="1" applyFont="1" applyFill="1" applyBorder="1" applyAlignment="1">
      <alignment horizontal="center" vertical="center" wrapText="1"/>
    </xf>
    <xf numFmtId="0" fontId="29" fillId="3" borderId="24" xfId="0" applyFont="1" applyBorder="1">
      <alignment vertical="center" wrapText="1"/>
    </xf>
    <xf numFmtId="9" fontId="11" fillId="3" borderId="0" xfId="11" applyFill="1" applyAlignment="1">
      <alignment vertical="center" wrapText="1"/>
    </xf>
    <xf numFmtId="175" fontId="0" fillId="3" borderId="0" xfId="0" applyNumberFormat="1">
      <alignment vertical="center" wrapText="1"/>
    </xf>
    <xf numFmtId="0" fontId="0" fillId="3" borderId="0" xfId="0" applyAlignment="1">
      <alignment vertical="top" wrapText="1"/>
    </xf>
    <xf numFmtId="0" fontId="0" fillId="3" borderId="0" xfId="0" applyAlignment="1">
      <alignment horizontal="left" vertical="top" wrapText="1"/>
    </xf>
    <xf numFmtId="0" fontId="35" fillId="41" borderId="0" xfId="0" applyFont="1" applyFill="1" applyBorder="1" applyAlignment="1">
      <alignment horizontal="center" vertical="center" wrapText="1"/>
    </xf>
    <xf numFmtId="0" fontId="25" fillId="36" borderId="0" xfId="0" applyFont="1" applyFill="1" applyAlignment="1">
      <alignment vertical="center" wrapText="1"/>
    </xf>
    <xf numFmtId="0" fontId="29" fillId="3" borderId="0" xfId="0" applyFont="1" applyBorder="1" applyAlignment="1">
      <alignment horizontal="left" vertical="top" wrapText="1" indent="1"/>
    </xf>
    <xf numFmtId="174" fontId="11" fillId="3" borderId="0" xfId="11" applyNumberFormat="1" applyFill="1" applyAlignment="1">
      <alignment vertical="center" wrapText="1"/>
    </xf>
    <xf numFmtId="169" fontId="11" fillId="43" borderId="0" xfId="7" applyNumberFormat="1" applyFill="1" applyAlignment="1">
      <alignment horizontal="center" vertical="center" wrapText="1"/>
    </xf>
    <xf numFmtId="9" fontId="35" fillId="43" borderId="0" xfId="11" applyNumberFormat="1" applyFont="1" applyFill="1" applyAlignment="1">
      <alignment horizontal="center" vertical="center" wrapText="1"/>
    </xf>
    <xf numFmtId="169" fontId="11" fillId="43" borderId="0" xfId="7" applyNumberFormat="1" applyFill="1" applyBorder="1" applyAlignment="1">
      <alignment horizontal="center" vertical="center" wrapText="1"/>
    </xf>
    <xf numFmtId="0" fontId="50" fillId="3" borderId="0" xfId="0" applyFont="1" applyAlignment="1">
      <alignment horizontal="left" vertical="top" wrapText="1"/>
    </xf>
    <xf numFmtId="0" fontId="36" fillId="43" borderId="0" xfId="0" applyFont="1" applyFill="1" applyAlignment="1">
      <alignment horizontal="left" vertical="center" wrapText="1"/>
    </xf>
    <xf numFmtId="0" fontId="36" fillId="3" borderId="0" xfId="0" applyFont="1" applyAlignment="1">
      <alignment horizontal="left" vertical="center" wrapText="1"/>
    </xf>
    <xf numFmtId="9" fontId="35" fillId="3" borderId="0" xfId="11" applyNumberFormat="1" applyFont="1" applyFill="1" applyAlignment="1">
      <alignment horizontal="left" vertical="center" wrapText="1"/>
    </xf>
    <xf numFmtId="0" fontId="50" fillId="3" borderId="0" xfId="0" applyFont="1" applyAlignment="1">
      <alignment vertical="top" wrapText="1"/>
    </xf>
    <xf numFmtId="0" fontId="0" fillId="3" borderId="0" xfId="0" applyAlignment="1">
      <alignment vertical="center" wrapText="1"/>
    </xf>
    <xf numFmtId="169" fontId="11" fillId="3" borderId="0" xfId="7" applyNumberFormat="1" applyFill="1" applyAlignment="1">
      <alignment horizontal="left" vertical="center" wrapText="1" indent="2"/>
    </xf>
    <xf numFmtId="0" fontId="37" fillId="3" borderId="0" xfId="0" applyFont="1" applyAlignment="1">
      <alignment horizontal="left" vertical="center" wrapText="1" indent="2"/>
    </xf>
    <xf numFmtId="0" fontId="0" fillId="36" borderId="0" xfId="0" applyFill="1" applyAlignment="1">
      <alignment horizontal="left" vertical="center" wrapText="1"/>
    </xf>
    <xf numFmtId="0" fontId="0" fillId="3" borderId="0" xfId="0" applyAlignment="1">
      <alignment horizontal="left" vertical="center"/>
    </xf>
    <xf numFmtId="169" fontId="0" fillId="3" borderId="35" xfId="7" applyNumberFormat="1" applyFont="1" applyFill="1" applyBorder="1" applyAlignment="1">
      <alignment horizontal="center" vertical="center" wrapText="1"/>
    </xf>
    <xf numFmtId="169" fontId="0" fillId="3" borderId="26" xfId="7" applyNumberFormat="1" applyFont="1" applyFill="1" applyBorder="1" applyAlignment="1">
      <alignment horizontal="center" vertical="center" wrapText="1"/>
    </xf>
    <xf numFmtId="0" fontId="34" fillId="3" borderId="0" xfId="0" applyFont="1" applyAlignment="1">
      <alignment horizontal="left" vertical="top" wrapText="1"/>
    </xf>
    <xf numFmtId="169" fontId="37" fillId="3" borderId="0" xfId="7" applyNumberFormat="1" applyFont="1" applyFill="1" applyAlignment="1">
      <alignment horizontal="left" vertical="center" wrapText="1" indent="2"/>
    </xf>
    <xf numFmtId="169" fontId="11" fillId="3" borderId="0" xfId="7" applyNumberFormat="1" applyFill="1" applyAlignment="1">
      <alignment horizontal="left" vertical="center" wrapText="1" indent="3"/>
    </xf>
    <xf numFmtId="0" fontId="37" fillId="3" borderId="0" xfId="0" applyFont="1" applyAlignment="1">
      <alignment horizontal="left" vertical="center" wrapText="1" indent="3"/>
    </xf>
    <xf numFmtId="0" fontId="50" fillId="3" borderId="0" xfId="0" applyFont="1" applyAlignment="1">
      <alignment horizontal="left" vertical="top" wrapText="1"/>
    </xf>
    <xf numFmtId="0" fontId="0" fillId="3" borderId="0" xfId="0" applyAlignment="1">
      <alignment horizontal="center" vertical="center" wrapText="1"/>
    </xf>
    <xf numFmtId="0" fontId="57" fillId="3" borderId="0" xfId="0" applyFont="1" applyAlignment="1">
      <alignment horizontal="left" vertical="center" wrapText="1"/>
    </xf>
    <xf numFmtId="0" fontId="40" fillId="36" borderId="0" xfId="0" applyFont="1" applyFill="1" applyAlignment="1">
      <alignment horizontal="center" vertical="center" wrapText="1"/>
    </xf>
    <xf numFmtId="0" fontId="0" fillId="36" borderId="0" xfId="0" applyFill="1" applyAlignment="1">
      <alignment horizontal="center" vertical="center" wrapText="1"/>
    </xf>
    <xf numFmtId="0" fontId="37" fillId="3" borderId="0" xfId="0" applyFont="1" applyAlignment="1">
      <alignment horizontal="left" vertical="top" wrapText="1"/>
    </xf>
    <xf numFmtId="0" fontId="23" fillId="36" borderId="0" xfId="0" applyFont="1" applyFill="1" applyAlignment="1">
      <alignment horizontal="center" vertical="center" wrapText="1"/>
    </xf>
    <xf numFmtId="0" fontId="25" fillId="36" borderId="0" xfId="0" applyFont="1" applyFill="1" applyAlignment="1">
      <alignment horizontal="center" vertical="center" wrapText="1"/>
    </xf>
    <xf numFmtId="0" fontId="28" fillId="3" borderId="0" xfId="0" applyFont="1" applyAlignment="1">
      <alignment horizontal="center" vertical="center" wrapText="1"/>
    </xf>
    <xf numFmtId="0" fontId="55" fillId="3" borderId="0" xfId="0" applyFont="1" applyAlignment="1">
      <alignment horizontal="left" vertical="center" wrapText="1"/>
    </xf>
    <xf numFmtId="0" fontId="30" fillId="36" borderId="0" xfId="0" applyFont="1" applyFill="1" applyAlignment="1">
      <alignment horizontal="left" vertical="center" wrapText="1"/>
    </xf>
    <xf numFmtId="0" fontId="41" fillId="3" borderId="0" xfId="0" applyFont="1" applyAlignment="1">
      <alignment horizontal="right" vertical="center" wrapText="1"/>
    </xf>
    <xf numFmtId="0" fontId="30" fillId="36" borderId="0" xfId="0" applyFont="1" applyFill="1" applyAlignment="1">
      <alignment horizontal="center" vertical="center" wrapText="1"/>
    </xf>
    <xf numFmtId="0" fontId="10" fillId="3" borderId="17" xfId="0" applyFont="1" applyBorder="1" applyAlignment="1">
      <alignment horizontal="center" vertical="center" wrapText="1"/>
    </xf>
    <xf numFmtId="0" fontId="10" fillId="3" borderId="18" xfId="0" applyFont="1" applyBorder="1" applyAlignment="1">
      <alignment horizontal="center" vertical="center" wrapText="1"/>
    </xf>
    <xf numFmtId="0" fontId="36" fillId="42" borderId="19" xfId="0" applyFont="1" applyFill="1" applyBorder="1" applyAlignment="1">
      <alignment horizontal="center" vertical="center" wrapText="1"/>
    </xf>
    <xf numFmtId="173" fontId="36" fillId="42" borderId="19" xfId="0" applyNumberFormat="1" applyFont="1" applyFill="1" applyBorder="1" applyAlignment="1">
      <alignment horizontal="center" vertical="center" wrapText="1"/>
    </xf>
    <xf numFmtId="0" fontId="25" fillId="36" borderId="0" xfId="0" applyFont="1" applyFill="1" applyAlignment="1">
      <alignment horizontal="left" vertical="center" wrapText="1" indent="1"/>
    </xf>
    <xf numFmtId="0" fontId="45" fillId="3" borderId="34" xfId="0" applyFont="1" applyBorder="1" applyAlignment="1">
      <alignment horizontal="left" vertical="center" wrapText="1"/>
    </xf>
    <xf numFmtId="0" fontId="0" fillId="3" borderId="34" xfId="0" applyBorder="1" applyAlignment="1">
      <alignment horizontal="left" vertical="center" wrapText="1"/>
    </xf>
    <xf numFmtId="0" fontId="53" fillId="36" borderId="0" xfId="0" applyFont="1" applyFill="1" applyAlignment="1">
      <alignment horizontal="left" vertical="center" wrapText="1"/>
    </xf>
    <xf numFmtId="0" fontId="54" fillId="36" borderId="0" xfId="0" applyFont="1" applyFill="1" applyAlignment="1">
      <alignment horizontal="left" vertical="center" wrapText="1"/>
    </xf>
    <xf numFmtId="0" fontId="49" fillId="36" borderId="0" xfId="0" applyFont="1" applyFill="1" applyAlignment="1">
      <alignment horizontal="center" vertical="center" wrapText="1"/>
    </xf>
    <xf numFmtId="0" fontId="1" fillId="40" borderId="0" xfId="0" applyFont="1" applyFill="1" applyAlignment="1">
      <alignment horizontal="center" vertical="center" wrapText="1"/>
    </xf>
    <xf numFmtId="168" fontId="0" fillId="3" borderId="0" xfId="0" applyNumberFormat="1" applyBorder="1" applyAlignment="1">
      <alignment horizontal="center" vertical="center" wrapText="1"/>
    </xf>
    <xf numFmtId="168" fontId="0" fillId="3" borderId="35" xfId="0" applyNumberFormat="1" applyBorder="1" applyAlignment="1">
      <alignment horizontal="center" vertical="center" wrapText="1"/>
    </xf>
    <xf numFmtId="168" fontId="0" fillId="3" borderId="26" xfId="0" applyNumberFormat="1" applyBorder="1" applyAlignment="1">
      <alignment horizontal="center" vertical="center" wrapText="1"/>
    </xf>
    <xf numFmtId="0" fontId="28" fillId="3" borderId="0" xfId="0" applyFont="1" applyBorder="1" applyAlignment="1">
      <alignment horizontal="left" vertical="center" wrapText="1"/>
    </xf>
    <xf numFmtId="0" fontId="23" fillId="36" borderId="0" xfId="0" applyFont="1" applyFill="1" applyAlignment="1">
      <alignment horizontal="left" vertical="center" wrapText="1"/>
    </xf>
    <xf numFmtId="0" fontId="42" fillId="41" borderId="0" xfId="0" applyFont="1" applyFill="1" applyAlignment="1">
      <alignment horizontal="left" vertical="center" wrapText="1"/>
    </xf>
    <xf numFmtId="0" fontId="26" fillId="41" borderId="0" xfId="0" applyFont="1" applyFill="1" applyAlignment="1">
      <alignment horizontal="left" vertical="center" wrapText="1"/>
    </xf>
  </cellXfs>
  <cellStyles count="50">
    <cellStyle name="20% - Accent1" xfId="27" builtinId="30" customBuiltin="1"/>
    <cellStyle name="20% - Accent2" xfId="31" builtinId="34" customBuiltin="1"/>
    <cellStyle name="20% - Accent3" xfId="35" builtinId="38" customBuiltin="1"/>
    <cellStyle name="20% - Accent4" xfId="39" builtinId="42" customBuiltin="1"/>
    <cellStyle name="20% - Accent5" xfId="43" builtinId="46" customBuiltin="1"/>
    <cellStyle name="20% - Accent6" xfId="47" builtinId="50" customBuiltin="1"/>
    <cellStyle name="40% - Accent1" xfId="28" builtinId="31" customBuiltin="1"/>
    <cellStyle name="40% - Accent2" xfId="32" builtinId="35" customBuiltin="1"/>
    <cellStyle name="40% - Accent3" xfId="36" builtinId="39" customBuiltin="1"/>
    <cellStyle name="40% - Accent4" xfId="40" builtinId="43" customBuiltin="1"/>
    <cellStyle name="40% - Accent5" xfId="44" builtinId="47" customBuiltin="1"/>
    <cellStyle name="40% - Accent6" xfId="48" builtinId="51" customBuiltin="1"/>
    <cellStyle name="60% - Accent1" xfId="29" builtinId="32" customBuiltin="1"/>
    <cellStyle name="60% - Accent2" xfId="33" builtinId="36" customBuiltin="1"/>
    <cellStyle name="60% - Accent3" xfId="37" builtinId="40" customBuiltin="1"/>
    <cellStyle name="60% - Accent4" xfId="41" builtinId="44" customBuiltin="1"/>
    <cellStyle name="60% - Accent5" xfId="45" builtinId="48" customBuiltin="1"/>
    <cellStyle name="60% - Accent6" xfId="49" builtinId="52" customBuiltin="1"/>
    <cellStyle name="Accent1" xfId="26" builtinId="29" customBuiltin="1"/>
    <cellStyle name="Accent2" xfId="30" builtinId="33" customBuiltin="1"/>
    <cellStyle name="Accent3" xfId="34" builtinId="37" customBuiltin="1"/>
    <cellStyle name="Accent4" xfId="38" builtinId="41" customBuiltin="1"/>
    <cellStyle name="Accent5" xfId="42" builtinId="45" customBuiltin="1"/>
    <cellStyle name="Accent6" xfId="46" builtinId="49" customBuiltin="1"/>
    <cellStyle name="Bad" xfId="18" builtinId="27" customBuiltin="1"/>
    <cellStyle name="Calculation" xfId="22" builtinId="22" customBuiltin="1"/>
    <cellStyle name="Check Cell" xfId="24" builtinId="23" customBuiltin="1"/>
    <cellStyle name="Comma" xfId="7" builtinId="3" customBuiltin="1"/>
    <cellStyle name="Comma [0]" xfId="8" builtinId="6" customBuiltin="1"/>
    <cellStyle name="Currency" xfId="9" builtinId="4" customBuiltin="1"/>
    <cellStyle name="Currency [0]" xfId="10" builtinId="7" customBuiltin="1"/>
    <cellStyle name="Explanatory Text" xfId="13" builtinId="53" customBuiltin="1"/>
    <cellStyle name="Followed Hyperlink" xfId="16" builtinId="9" customBuiltin="1"/>
    <cellStyle name="Good" xfId="17" builtinId="26" customBuiltin="1"/>
    <cellStyle name="Heading 1" xfId="1" builtinId="16" customBuiltin="1"/>
    <cellStyle name="Heading 2" xfId="2" builtinId="17" customBuiltin="1"/>
    <cellStyle name="Heading 3" xfId="3" builtinId="18" customBuiltin="1"/>
    <cellStyle name="Heading 4" xfId="4" builtinId="19" customBuiltin="1"/>
    <cellStyle name="Heading 5" xfId="5" xr:uid="{00000000-0005-0000-0000-00000A000000}"/>
    <cellStyle name="Hyperlink" xfId="15" builtinId="8" customBuiltin="1"/>
    <cellStyle name="Input" xfId="20" builtinId="20" customBuiltin="1"/>
    <cellStyle name="Linked Cell" xfId="23" builtinId="24" customBuiltin="1"/>
    <cellStyle name="Neutral" xfId="19" builtinId="28" customBuiltin="1"/>
    <cellStyle name="Normal" xfId="0" builtinId="0" customBuiltin="1"/>
    <cellStyle name="Note" xfId="12" builtinId="10" customBuiltin="1"/>
    <cellStyle name="Output" xfId="21" builtinId="21" customBuiltin="1"/>
    <cellStyle name="Percent" xfId="11" builtinId="5" customBuiltin="1"/>
    <cellStyle name="Title" xfId="6" builtinId="15" customBuiltin="1"/>
    <cellStyle name="Total" xfId="14" builtinId="25" customBuiltin="1"/>
    <cellStyle name="Warning Text" xfId="25" builtinId="11" customBuiltin="1"/>
  </cellStyles>
  <dxfs count="118">
    <dxf>
      <font>
        <color theme="0" tint="-0.24994659260841701"/>
      </font>
      <fill>
        <patternFill>
          <bgColor theme="0" tint="-4.9989318521683403E-2"/>
        </patternFill>
      </fill>
    </dxf>
    <dxf>
      <fill>
        <patternFill>
          <bgColor rgb="FFE3F2FD"/>
        </patternFill>
      </fill>
    </dxf>
    <dxf>
      <fill>
        <patternFill>
          <bgColor rgb="FFBBDEFB"/>
        </patternFill>
      </fill>
    </dxf>
    <dxf>
      <fill>
        <patternFill>
          <bgColor rgb="FF90CAF9"/>
        </patternFill>
      </fill>
    </dxf>
    <dxf>
      <fill>
        <patternFill>
          <bgColor rgb="FF64B5F6"/>
        </patternFill>
      </fill>
    </dxf>
    <dxf>
      <fill>
        <patternFill>
          <bgColor rgb="FF2196F3"/>
        </patternFill>
      </fill>
    </dxf>
    <dxf>
      <fill>
        <patternFill>
          <bgColor rgb="FF1976D2"/>
        </patternFill>
      </fill>
    </dxf>
    <dxf>
      <fill>
        <patternFill>
          <bgColor rgb="FFFAE0E4"/>
        </patternFill>
      </fill>
    </dxf>
    <dxf>
      <fill>
        <patternFill>
          <bgColor rgb="FFF7CAD0"/>
        </patternFill>
      </fill>
    </dxf>
    <dxf>
      <fill>
        <patternFill>
          <bgColor rgb="FFFBB1BD"/>
        </patternFill>
      </fill>
    </dxf>
    <dxf>
      <fill>
        <patternFill>
          <bgColor rgb="FFFF7096"/>
        </patternFill>
      </fill>
    </dxf>
    <dxf>
      <fill>
        <patternFill>
          <bgColor rgb="FFFF477E"/>
        </patternFill>
      </fill>
    </dxf>
    <dxf>
      <fill>
        <patternFill>
          <bgColor rgb="FFFF0A54"/>
        </patternFill>
      </fill>
    </dxf>
    <dxf>
      <fill>
        <patternFill>
          <bgColor theme="0" tint="-0.14996795556505021"/>
        </patternFill>
      </fill>
    </dxf>
    <dxf>
      <fill>
        <patternFill>
          <bgColor theme="7" tint="0.39994506668294322"/>
        </patternFill>
      </fill>
    </dxf>
    <dxf>
      <fill>
        <patternFill>
          <bgColor theme="7"/>
        </patternFill>
      </fill>
    </dxf>
    <dxf>
      <fill>
        <patternFill>
          <bgColor rgb="FFB7EFC5"/>
        </patternFill>
      </fill>
    </dxf>
    <dxf>
      <fill>
        <patternFill>
          <bgColor rgb="FF4AD66D"/>
        </patternFill>
      </fill>
    </dxf>
    <dxf>
      <fill>
        <patternFill>
          <bgColor rgb="FF25A244"/>
        </patternFill>
      </fill>
    </dxf>
    <dxf>
      <fill>
        <patternFill>
          <bgColor rgb="FFBBDEFB"/>
        </patternFill>
      </fill>
    </dxf>
    <dxf>
      <fill>
        <patternFill>
          <bgColor rgb="FFFAE0E4"/>
        </patternFill>
      </fill>
    </dxf>
    <dxf>
      <fill>
        <patternFill>
          <bgColor rgb="FFB7EFC5"/>
        </patternFill>
      </fill>
    </dxf>
    <dxf>
      <font>
        <b/>
        <i val="0"/>
      </font>
      <border>
        <top style="thin">
          <color auto="1"/>
        </top>
        <vertical/>
        <horizontal/>
      </border>
    </dxf>
    <dxf>
      <font>
        <b/>
        <i val="0"/>
        <color theme="0"/>
      </font>
      <fill>
        <patternFill>
          <bgColor rgb="FF00B0F0"/>
        </patternFill>
      </fill>
    </dxf>
    <dxf>
      <font>
        <b/>
        <i val="0"/>
        <color theme="0"/>
      </font>
      <fill>
        <patternFill>
          <bgColor rgb="FFFF0066"/>
        </patternFill>
      </fill>
    </dxf>
    <dxf>
      <font>
        <b/>
        <i val="0"/>
        <color theme="0"/>
      </font>
      <fill>
        <patternFill>
          <bgColor rgb="FF25A244"/>
        </patternFill>
      </fill>
    </dxf>
    <dxf>
      <font>
        <color theme="0" tint="-0.499984740745262"/>
      </font>
      <numFmt numFmtId="176" formatCode="\ \➔\ d\-mmm\-yy"/>
    </dxf>
    <dxf>
      <font>
        <b/>
        <i val="0"/>
        <color rgb="FF00B050"/>
      </font>
      <numFmt numFmtId="177" formatCode="#,##0.0;[Red]#,##0.0"/>
    </dxf>
    <dxf>
      <font>
        <color rgb="FFFF0000"/>
      </font>
    </dxf>
    <dxf>
      <font>
        <color rgb="FF000000"/>
      </font>
      <fill>
        <patternFill>
          <bgColor rgb="FFDAF7DC"/>
        </patternFill>
      </fill>
    </dxf>
    <dxf>
      <font>
        <color rgb="FF000000"/>
      </font>
      <fill>
        <patternFill>
          <bgColor rgb="FFDAF7DC"/>
        </patternFill>
      </fill>
    </dxf>
    <dxf>
      <font>
        <color rgb="FF000000"/>
      </font>
      <fill>
        <patternFill>
          <bgColor rgb="FFDAF7DC"/>
        </patternFill>
      </fill>
    </dxf>
    <dxf>
      <font>
        <color rgb="FFFF0000"/>
      </font>
    </dxf>
    <dxf>
      <font>
        <color rgb="FF00B050"/>
      </font>
    </dxf>
    <dxf>
      <font>
        <color theme="0" tint="-0.34998626667073579"/>
      </font>
    </dxf>
    <dxf>
      <font>
        <color rgb="FF000000"/>
      </font>
      <fill>
        <patternFill>
          <bgColor rgb="FFBBDEFB"/>
        </patternFill>
      </fill>
    </dxf>
    <dxf>
      <font>
        <color rgb="FF000000"/>
      </font>
      <fill>
        <patternFill>
          <bgColor rgb="FFF9BEC7"/>
        </patternFill>
      </fill>
    </dxf>
    <dxf>
      <font>
        <color rgb="FF000000"/>
      </font>
      <fill>
        <patternFill>
          <bgColor rgb="FFDAF7DC"/>
        </patternFill>
      </fill>
    </dxf>
    <dxf>
      <font>
        <strike val="0"/>
        <outline val="0"/>
        <shadow val="0"/>
        <u val="none"/>
        <vertAlign val="baseline"/>
        <sz val="11"/>
        <color theme="0" tint="-0.249977111117893"/>
        <name val="Lucida Sans"/>
        <family val="2"/>
        <scheme val="minor"/>
      </font>
      <numFmt numFmtId="172" formatCode="d\-mmm\-yy"/>
      <alignment horizontal="right" vertical="bottom" textRotation="0" wrapText="1" indent="1" justifyLastLine="0" shrinkToFit="0" readingOrder="0"/>
    </dxf>
    <dxf>
      <font>
        <strike val="0"/>
        <outline val="0"/>
        <shadow val="0"/>
        <u val="none"/>
        <vertAlign val="baseline"/>
        <sz val="11"/>
        <color theme="0" tint="-0.499984740745262"/>
        <name val="Lucida Sans"/>
        <family val="2"/>
        <scheme val="minor"/>
      </font>
      <numFmt numFmtId="169" formatCode="_(* #,##0.0_);_(* \(#,##0.0\);_(* &quot;-&quot;??_);_(@_)"/>
      <alignment horizontal="left" vertical="center" textRotation="0" wrapText="1" relativeIndent="1" justifyLastLine="0" shrinkToFit="0" readingOrder="0"/>
    </dxf>
    <dxf>
      <font>
        <strike val="0"/>
        <outline val="0"/>
        <shadow val="0"/>
        <u val="none"/>
        <vertAlign val="baseline"/>
        <sz val="11"/>
        <color theme="0" tint="-0.499984740745262"/>
        <name val="Lucida Sans"/>
        <family val="2"/>
        <scheme val="minor"/>
      </font>
      <alignment horizontal="left" vertical="center" textRotation="0" wrapText="1" relativeIndent="1" justifyLastLine="0" shrinkToFit="0" readingOrder="0"/>
    </dxf>
    <dxf>
      <numFmt numFmtId="169" formatCode="_(* #,##0.0_);_(* \(#,##0.0\);_(* &quot;-&quot;??_);_(@_)"/>
      <alignment horizontal="left" vertical="center" textRotation="0" wrapText="1" relativeIndent="1"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72" formatCode="d\-mmm\-yy"/>
      <alignment horizontal="left" vertical="center" textRotation="0" wrapText="1" relativeIndent="1" justifyLastLine="0" shrinkToFit="0" readingOrder="0"/>
    </dxf>
    <dxf>
      <alignment horizontal="left" vertical="center" textRotation="0" wrapText="1" relativeIndent="1" justifyLastLine="0" shrinkToFit="0" readingOrder="0"/>
    </dxf>
    <dxf>
      <alignment horizontal="left" vertical="center" textRotation="0" wrapText="1" relativeIndent="-1" justifyLastLine="0" shrinkToFit="0" readingOrder="0"/>
    </dxf>
    <dxf>
      <font>
        <b val="0"/>
        <i val="0"/>
        <strike val="0"/>
        <condense val="0"/>
        <extend val="0"/>
        <outline val="0"/>
        <shadow val="0"/>
        <u val="none"/>
        <vertAlign val="baseline"/>
        <sz val="10"/>
        <color theme="0" tint="-0.34998626667073579"/>
        <name val="Lucida Sans"/>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0" tint="-0.34998626667073579"/>
        <name val="Lucida Sans"/>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auto="1"/>
        <name val="Lucida Sans"/>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0" tint="-0.34998626667073579"/>
        <name val="Lucida Sans"/>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0" tint="-0.34998626667073579"/>
        <name val="Lucida Sans"/>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auto="1"/>
        <name val="Lucida Sans"/>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0" tint="-0.34998626667073579"/>
        <name val="Lucida Sans"/>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0" tint="-0.34998626667073579"/>
        <name val="Lucida Sans"/>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auto="1"/>
        <name val="Lucida Sans"/>
        <family val="2"/>
        <scheme val="minor"/>
      </font>
      <alignment horizontal="left" vertical="center" textRotation="0" wrapText="1" indent="0" justifyLastLine="0" shrinkToFit="0" readingOrder="0"/>
    </dxf>
    <dxf>
      <font>
        <b val="0"/>
        <i/>
        <strike val="0"/>
        <condense val="0"/>
        <extend val="0"/>
        <outline val="0"/>
        <shadow val="0"/>
        <u val="none"/>
        <vertAlign val="baseline"/>
        <sz val="11"/>
        <color theme="0" tint="-0.499984740745262"/>
        <name val="Lucida Sans"/>
        <family val="2"/>
        <scheme val="minor"/>
      </font>
      <alignment horizontal="left" vertical="top" textRotation="0" wrapText="1" indent="0" justifyLastLine="0" shrinkToFit="0" readingOrder="0"/>
    </dxf>
    <dxf>
      <font>
        <b val="0"/>
        <i/>
        <strike val="0"/>
        <condense val="0"/>
        <extend val="0"/>
        <outline val="0"/>
        <shadow val="0"/>
        <u val="none"/>
        <vertAlign val="baseline"/>
        <sz val="11"/>
        <color theme="0" tint="-0.499984740745262"/>
        <name val="Lucida Sans"/>
        <family val="2"/>
        <scheme val="minor"/>
      </font>
      <alignment horizontal="left" vertical="top" textRotation="0" wrapText="1" indent="0" justifyLastLine="0" shrinkToFit="0" readingOrder="0"/>
    </dxf>
    <dxf>
      <font>
        <b val="0"/>
        <i/>
        <strike val="0"/>
        <condense val="0"/>
        <extend val="0"/>
        <outline val="0"/>
        <shadow val="0"/>
        <u val="none"/>
        <vertAlign val="baseline"/>
        <sz val="11"/>
        <color theme="0" tint="-0.499984740745262"/>
        <name val="Lucida Sans"/>
        <family val="2"/>
        <scheme val="minor"/>
      </font>
      <alignment horizontal="left" vertical="top" textRotation="0" wrapText="1" indent="0" justifyLastLine="0" shrinkToFit="0" readingOrder="0"/>
    </dxf>
    <dxf>
      <font>
        <b val="0"/>
        <i/>
        <strike val="0"/>
        <condense val="0"/>
        <extend val="0"/>
        <outline val="0"/>
        <shadow val="0"/>
        <u val="none"/>
        <vertAlign val="baseline"/>
        <sz val="11"/>
        <color theme="0" tint="-0.499984740745262"/>
        <name val="Lucida Sans"/>
        <family val="2"/>
        <scheme val="minor"/>
      </font>
      <alignment horizontal="general" vertical="top" textRotation="0" wrapText="1" indent="0" justifyLastLine="0" shrinkToFit="0" readingOrder="0"/>
    </dxf>
    <dxf>
      <font>
        <strike val="0"/>
        <outline val="0"/>
        <shadow val="0"/>
        <u val="none"/>
        <vertAlign val="baseline"/>
        <sz val="11"/>
        <color theme="0"/>
        <name val="Lucida Sans"/>
        <family val="2"/>
        <scheme val="minor"/>
      </font>
      <fill>
        <patternFill patternType="solid">
          <fgColor indexed="64"/>
          <bgColor rgb="FF002060"/>
        </patternFill>
      </fill>
    </dxf>
    <dxf>
      <border>
        <left style="thin">
          <color theme="5"/>
        </left>
      </border>
    </dxf>
    <dxf>
      <border>
        <left style="thin">
          <color theme="5"/>
        </left>
      </border>
    </dxf>
    <dxf>
      <border>
        <top style="thin">
          <color theme="5"/>
        </top>
      </border>
    </dxf>
    <dxf>
      <fill>
        <patternFill>
          <bgColor theme="0" tint="-4.9989318521683403E-2"/>
        </patternFill>
      </fill>
      <border>
        <top style="thin">
          <color theme="5"/>
        </top>
      </border>
    </dxf>
    <dxf>
      <font>
        <b/>
        <color theme="1"/>
      </font>
    </dxf>
    <dxf>
      <font>
        <b/>
        <color theme="1"/>
      </font>
    </dxf>
    <dxf>
      <font>
        <b/>
        <color theme="1"/>
      </font>
      <border>
        <top style="double">
          <color theme="5"/>
        </top>
      </border>
    </dxf>
    <dxf>
      <font>
        <b/>
        <color theme="0"/>
      </font>
      <fill>
        <patternFill patternType="solid">
          <fgColor theme="5"/>
          <bgColor rgb="FF002060"/>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font>
      <border>
        <left style="thin">
          <color theme="5"/>
        </left>
        <right style="thin">
          <color theme="5"/>
        </right>
        <top style="thin">
          <color theme="5"/>
        </top>
        <bottom style="thin">
          <color theme="5"/>
        </bottom>
      </border>
    </dxf>
    <dxf>
      <border>
        <left style="thin">
          <color theme="5"/>
        </left>
      </border>
    </dxf>
    <dxf>
      <border>
        <left style="thin">
          <color theme="5"/>
        </left>
      </border>
    </dxf>
    <dxf>
      <border>
        <top style="thin">
          <color theme="5"/>
        </top>
      </border>
    </dxf>
    <dxf>
      <border>
        <top style="thin">
          <color theme="5"/>
        </top>
      </border>
    </dxf>
    <dxf>
      <font>
        <b/>
        <color theme="1"/>
      </font>
    </dxf>
    <dxf>
      <font>
        <b/>
        <color theme="1"/>
      </font>
    </dxf>
    <dxf>
      <font>
        <b/>
        <color theme="1"/>
      </font>
      <border>
        <top style="double">
          <color theme="5"/>
        </top>
      </border>
    </dxf>
    <dxf>
      <font>
        <b/>
        <color theme="0"/>
      </font>
      <fill>
        <patternFill patternType="solid">
          <fgColor theme="5"/>
          <bgColor rgb="FF25A244"/>
        </patternFill>
      </fill>
    </dxf>
    <dxf>
      <font>
        <color theme="1"/>
      </font>
      <border>
        <left style="thin">
          <color theme="5"/>
        </left>
        <right style="thin">
          <color theme="5"/>
        </right>
        <top style="thin">
          <color theme="5"/>
        </top>
        <bottom style="thin">
          <color theme="5"/>
        </bottom>
      </border>
    </dxf>
    <dxf>
      <border>
        <left style="thin">
          <color theme="5"/>
        </left>
      </border>
    </dxf>
    <dxf>
      <border>
        <left style="thin">
          <color theme="5"/>
        </left>
      </border>
    </dxf>
    <dxf>
      <border>
        <top style="thin">
          <color theme="5"/>
        </top>
      </border>
    </dxf>
    <dxf>
      <border>
        <top style="thin">
          <color theme="5"/>
        </top>
      </border>
    </dxf>
    <dxf>
      <font>
        <b/>
        <color theme="1"/>
      </font>
    </dxf>
    <dxf>
      <font>
        <b/>
        <color theme="1"/>
      </font>
    </dxf>
    <dxf>
      <font>
        <b/>
        <color theme="1"/>
      </font>
      <border>
        <top style="double">
          <color theme="5"/>
        </top>
      </border>
    </dxf>
    <dxf>
      <font>
        <b/>
        <color theme="0"/>
      </font>
      <fill>
        <patternFill patternType="solid">
          <fgColor theme="5"/>
          <bgColor rgb="FF7030A0"/>
        </patternFill>
      </fill>
    </dxf>
    <dxf>
      <font>
        <color theme="1"/>
      </font>
      <border>
        <left style="thin">
          <color theme="5"/>
        </left>
        <right style="thin">
          <color theme="5"/>
        </right>
        <top style="thin">
          <color theme="5"/>
        </top>
        <bottom style="thin">
          <color theme="5"/>
        </bottom>
      </border>
    </dxf>
    <dxf>
      <fill>
        <patternFill>
          <bgColor theme="5" tint="0.79998168889431442"/>
        </patternFill>
      </fill>
    </dxf>
    <dxf>
      <fill>
        <patternFill>
          <bgColor theme="0"/>
        </patternFill>
      </fill>
    </dxf>
    <dxf>
      <fill>
        <patternFill>
          <bgColor theme="5" tint="0.79998168889431442"/>
        </patternFill>
      </fill>
    </dxf>
    <dxf>
      <fill>
        <patternFill>
          <bgColor theme="0"/>
        </patternFill>
      </fill>
    </dxf>
    <dxf>
      <font>
        <b val="0"/>
        <i val="0"/>
        <color theme="3" tint="0.24994659260841701"/>
      </font>
      <fill>
        <patternFill>
          <bgColor theme="5" tint="0.79998168889431442"/>
        </patternFill>
      </fill>
      <border diagonalUp="0" diagonalDown="0">
        <left/>
        <right/>
        <top/>
        <bottom/>
        <vertical/>
        <horizontal/>
      </border>
    </dxf>
    <dxf>
      <font>
        <b val="0"/>
        <i val="0"/>
        <color theme="3" tint="0.24994659260841701"/>
      </font>
      <fill>
        <patternFill>
          <bgColor theme="0"/>
        </patternFill>
      </fill>
      <border diagonalUp="0" diagonalDown="0">
        <left/>
        <right/>
        <top/>
        <bottom/>
        <vertical/>
        <horizontal/>
      </border>
    </dxf>
    <dxf>
      <font>
        <b val="0"/>
        <i val="0"/>
        <color theme="3" tint="0.24994659260841701"/>
      </font>
      <fill>
        <patternFill>
          <bgColor theme="3" tint="0.89996032593768116"/>
        </patternFill>
      </fill>
      <border diagonalUp="0" diagonalDown="0">
        <left/>
        <right/>
        <top style="medium">
          <color theme="3" tint="0.24994659260841701"/>
        </top>
        <bottom/>
        <vertical/>
        <horizontal/>
      </border>
    </dxf>
    <dxf>
      <font>
        <b val="0"/>
        <i val="0"/>
        <color theme="3" tint="0.24994659260841701"/>
      </font>
      <fill>
        <patternFill patternType="solid">
          <fgColor theme="7"/>
          <bgColor theme="3" tint="0.89996032593768116"/>
        </patternFill>
      </fill>
      <border diagonalUp="0" diagonalDown="0">
        <left/>
        <right/>
        <top/>
        <bottom style="medium">
          <color theme="3" tint="0.24994659260841701"/>
        </bottom>
        <vertical/>
        <horizontal/>
      </border>
    </dxf>
    <dxf>
      <font>
        <b val="0"/>
        <i val="0"/>
        <color theme="3" tint="0.24994659260841701"/>
      </font>
      <fill>
        <patternFill>
          <bgColor theme="3" tint="0.89996032593768116"/>
        </patternFill>
      </fill>
      <border diagonalUp="0" diagonalDown="0">
        <left/>
        <right/>
        <top/>
        <bottom/>
        <vertical/>
        <horizontal/>
      </border>
    </dxf>
    <dxf>
      <fill>
        <patternFill>
          <bgColor theme="0" tint="-4.9989318521683403E-2"/>
        </patternFill>
      </fill>
    </dxf>
    <dxf>
      <font>
        <b val="0"/>
        <i val="0"/>
        <color theme="3" tint="0.24994659260841701"/>
      </font>
      <fill>
        <patternFill>
          <bgColor theme="0"/>
        </patternFill>
      </fill>
      <border diagonalUp="0" diagonalDown="0">
        <left/>
        <right style="dashed">
          <color theme="3" tint="0.24994659260841701"/>
        </right>
        <top/>
        <bottom/>
        <vertical style="dashed">
          <color theme="3" tint="0.24994659260841701"/>
        </vertical>
        <horizontal/>
      </border>
    </dxf>
    <dxf>
      <font>
        <b val="0"/>
        <i val="0"/>
        <color theme="3" tint="0.24994659260841701"/>
      </font>
      <fill>
        <patternFill>
          <bgColor theme="0"/>
        </patternFill>
      </fill>
      <border diagonalUp="0" diagonalDown="0">
        <left/>
        <right/>
        <top style="medium">
          <color theme="3" tint="0.24994659260841701"/>
        </top>
        <bottom/>
        <vertical/>
        <horizontal/>
      </border>
    </dxf>
    <dxf>
      <font>
        <b val="0"/>
        <i val="0"/>
        <color theme="3" tint="0.24994659260841701"/>
      </font>
      <fill>
        <patternFill patternType="solid">
          <fgColor indexed="64"/>
          <bgColor theme="2"/>
        </patternFill>
      </fill>
      <border diagonalUp="0" diagonalDown="0">
        <left/>
        <right/>
        <top/>
        <bottom style="medium">
          <color theme="3" tint="0.24994659260841701"/>
        </bottom>
        <vertical/>
        <horizontal/>
      </border>
    </dxf>
    <dxf>
      <font>
        <b val="0"/>
        <i val="0"/>
        <color theme="3" tint="0.24994659260841701"/>
      </font>
      <border diagonalUp="0" diagonalDown="0">
        <left/>
        <right style="dashed">
          <color theme="3" tint="0.24994659260841701"/>
        </right>
        <top/>
        <bottom/>
        <vertical style="dashed">
          <color theme="3" tint="0.24994659260841701"/>
        </vertical>
        <horizontal/>
      </border>
    </dxf>
    <dxf>
      <font>
        <b/>
        <i val="0"/>
        <color theme="0"/>
      </font>
      <fill>
        <patternFill>
          <bgColor rgb="FF00B0F0"/>
        </patternFill>
      </fill>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left style="thin">
          <color theme="5"/>
        </left>
      </border>
    </dxf>
    <dxf>
      <border>
        <left style="thin">
          <color theme="5"/>
        </left>
      </border>
    </dxf>
    <dxf>
      <border>
        <top style="thin">
          <color theme="5"/>
        </top>
      </border>
    </dxf>
    <dxf>
      <border>
        <top style="thin">
          <color theme="5"/>
        </top>
      </border>
    </dxf>
    <dxf>
      <font>
        <b/>
        <color theme="1"/>
      </font>
    </dxf>
    <dxf>
      <font>
        <b/>
        <color theme="1"/>
      </font>
    </dxf>
    <dxf>
      <font>
        <b/>
        <color theme="1"/>
      </font>
      <border>
        <top style="double">
          <color theme="5"/>
        </top>
      </border>
    </dxf>
    <dxf>
      <font>
        <b/>
        <color theme="0"/>
      </font>
      <fill>
        <patternFill patternType="solid">
          <fgColor theme="5"/>
          <bgColor rgb="FFFF0066"/>
        </patternFill>
      </fill>
    </dxf>
    <dxf>
      <font>
        <color theme="1"/>
      </font>
      <border>
        <left style="thin">
          <color theme="5"/>
        </left>
        <right style="thin">
          <color theme="5"/>
        </right>
        <top style="thin">
          <color theme="5"/>
        </top>
        <bottom style="thin">
          <color theme="5"/>
        </bottom>
      </border>
    </dxf>
    <dxf>
      <fill>
        <patternFill>
          <bgColor theme="2"/>
        </patternFill>
      </fill>
    </dxf>
    <dxf>
      <font>
        <b val="0"/>
        <i val="0"/>
        <color theme="3" tint="9.9948118533890809E-2"/>
      </font>
      <fill>
        <patternFill>
          <bgColor theme="0"/>
        </patternFill>
      </fill>
      <border diagonalUp="0" diagonalDown="0">
        <left/>
        <right/>
        <top/>
        <bottom/>
        <vertical/>
        <horizontal/>
      </border>
    </dxf>
    <dxf>
      <font>
        <b val="0"/>
        <i val="0"/>
        <color theme="3" tint="9.9917600024414813E-2"/>
      </font>
      <fill>
        <patternFill>
          <bgColor theme="0"/>
        </patternFill>
      </fill>
      <border diagonalUp="0" diagonalDown="0">
        <left/>
        <right/>
        <top style="medium">
          <color theme="3" tint="0.24994659260841701"/>
        </top>
        <bottom/>
        <vertical/>
        <horizontal/>
      </border>
    </dxf>
    <dxf>
      <font>
        <b val="0"/>
        <i val="0"/>
        <color theme="3" tint="9.9917600024414813E-2"/>
      </font>
      <fill>
        <patternFill patternType="solid">
          <fgColor indexed="64"/>
          <bgColor theme="2"/>
        </patternFill>
      </fill>
      <border diagonalUp="0" diagonalDown="0">
        <left/>
        <right/>
        <top/>
        <bottom style="medium">
          <color theme="3" tint="0.24994659260841701"/>
        </bottom>
        <vertical/>
        <horizontal/>
      </border>
    </dxf>
    <dxf>
      <font>
        <b val="0"/>
        <i val="0"/>
        <color theme="3" tint="9.9948118533890809E-2"/>
      </font>
      <fill>
        <patternFill patternType="solid">
          <bgColor theme="0"/>
        </patternFill>
      </fill>
      <border diagonalUp="0" diagonalDown="0">
        <left/>
        <right/>
        <top/>
        <bottom/>
        <vertical/>
        <horizontal/>
      </border>
    </dxf>
  </dxfs>
  <tableStyles count="9" defaultTableStyle="Personal Cash Flow Statement" defaultPivotStyle="PivotStyleLight15">
    <tableStyle name="Daily Summary" pivot="0" count="5" xr9:uid="{00000000-0011-0000-FFFF-FFFF00000000}">
      <tableStyleElement type="wholeTable" dxfId="117"/>
      <tableStyleElement type="headerRow" dxfId="116"/>
      <tableStyleElement type="totalRow" dxfId="115"/>
      <tableStyleElement type="firstRowStripe" dxfId="114"/>
      <tableStyleElement type="secondRowStripe" dxfId="113"/>
    </tableStyle>
    <tableStyle name="Expenses Table Styel" pivot="0" count="9" xr9:uid="{D75BD171-7341-4DDC-BECA-1C52DC0A1313}">
      <tableStyleElement type="wholeTable" dxfId="112"/>
      <tableStyleElement type="headerRow" dxfId="111"/>
      <tableStyleElement type="totalRow" dxfId="110"/>
      <tableStyleElement type="firstColumn" dxfId="109"/>
      <tableStyleElement type="lastColumn" dxfId="108"/>
      <tableStyleElement type="firstRowStripe" dxfId="107"/>
      <tableStyleElement type="secondRowStripe" dxfId="106"/>
      <tableStyleElement type="firstColumnStripe" dxfId="105"/>
      <tableStyleElement type="secondColumnStripe" dxfId="104"/>
    </tableStyle>
    <tableStyle name="Income Table Style" pivot="0" count="0" xr9:uid="{62ED98C6-340B-4C45-8B74-2AC11003D5E8}"/>
    <tableStyle name="income Table Style1" pivot="0" count="2" xr9:uid="{A5EC9EC1-ABDC-4364-83B6-3A8CD5DBEEC4}">
      <tableStyleElement type="wholeTable" dxfId="103"/>
      <tableStyleElement type="headerRow" dxfId="102"/>
    </tableStyle>
    <tableStyle name="Monthly Cash Flow" pivot="0" count="5" xr9:uid="{00000000-0011-0000-FFFF-FFFF01000000}">
      <tableStyleElement type="wholeTable" dxfId="101"/>
      <tableStyleElement type="headerRow" dxfId="100"/>
      <tableStyleElement type="totalRow" dxfId="99"/>
      <tableStyleElement type="firstRowStripe" dxfId="98"/>
      <tableStyleElement type="secondRowStripe" dxfId="97"/>
    </tableStyle>
    <tableStyle name="Personal Cash Flow Statement" pivot="0" count="9" xr9:uid="{00000000-0011-0000-FFFF-FFFF02000000}">
      <tableStyleElement type="wholeTable" dxfId="96"/>
      <tableStyleElement type="headerRow" dxfId="95"/>
      <tableStyleElement type="totalRow" dxfId="94"/>
      <tableStyleElement type="firstColumn" dxfId="93"/>
      <tableStyleElement type="lastColumn" dxfId="92"/>
      <tableStyleElement type="firstHeaderCell" dxfId="91"/>
      <tableStyleElement type="lastHeaderCell" dxfId="90"/>
      <tableStyleElement type="firstTotalCell" dxfId="89"/>
      <tableStyleElement type="lastTotalCell" dxfId="88"/>
    </tableStyle>
    <tableStyle name="Savings Table Styel 2" pivot="0" count="9" xr9:uid="{78743569-CFF1-479B-91B2-78D0132093FB}">
      <tableStyleElement type="wholeTable" dxfId="87"/>
      <tableStyleElement type="headerRow" dxfId="86"/>
      <tableStyleElement type="totalRow" dxfId="85"/>
      <tableStyleElement type="firstColumn" dxfId="84"/>
      <tableStyleElement type="lastColumn" dxfId="83"/>
      <tableStyleElement type="firstRowStripe" dxfId="82"/>
      <tableStyleElement type="secondRowStripe" dxfId="81"/>
      <tableStyleElement type="firstColumnStripe" dxfId="80"/>
      <tableStyleElement type="secondColumnStripe" dxfId="79"/>
    </tableStyle>
    <tableStyle name="TableStyleLight10 2" pivot="0" count="9" xr9:uid="{E46E4165-D8C6-4715-B155-B91B190A19A5}">
      <tableStyleElement type="wholeTable" dxfId="78"/>
      <tableStyleElement type="headerRow" dxfId="77"/>
      <tableStyleElement type="totalRow" dxfId="76"/>
      <tableStyleElement type="firstColumn" dxfId="75"/>
      <tableStyleElement type="lastColumn" dxfId="74"/>
      <tableStyleElement type="firstRowStripe" dxfId="73"/>
      <tableStyleElement type="secondRowStripe" dxfId="72"/>
      <tableStyleElement type="firstColumnStripe" dxfId="71"/>
      <tableStyleElement type="secondColumnStripe" dxfId="70"/>
    </tableStyle>
    <tableStyle name="Tracking Table Style" pivot="0" count="9" xr9:uid="{DB66D624-FAC6-4044-AC39-D8FE2ADEF06A}">
      <tableStyleElement type="wholeTable" dxfId="69"/>
      <tableStyleElement type="headerRow" dxfId="68"/>
      <tableStyleElement type="totalRow" dxfId="67"/>
      <tableStyleElement type="firstColumn" dxfId="66"/>
      <tableStyleElement type="lastColumn" dxfId="65"/>
      <tableStyleElement type="firstRowStripe" dxfId="64"/>
      <tableStyleElement type="secondRowStripe" dxfId="63"/>
      <tableStyleElement type="firstColumnStripe" dxfId="62"/>
      <tableStyleElement type="secondColumnStripe" dxfId="61"/>
    </tableStyle>
  </tableStyles>
  <colors>
    <mruColors>
      <color rgb="FFFAE0E4"/>
      <color rgb="FFF7CAD0"/>
      <color rgb="FFFBB1BD"/>
      <color rgb="FFFF7096"/>
      <color rgb="FFFF477E"/>
      <color rgb="FFFF5C8A"/>
      <color rgb="FFFF0A54"/>
      <color rgb="FFE3F2FD"/>
      <color rgb="FFBBDEFB"/>
      <color rgb="FF90CA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15547595675736"/>
          <c:y val="5.185397491928731E-2"/>
          <c:w val="0.83684452404324261"/>
          <c:h val="0.81013822488070464"/>
        </c:manualLayout>
      </c:layout>
      <c:doughnutChart>
        <c:varyColors val="1"/>
        <c:ser>
          <c:idx val="0"/>
          <c:order val="0"/>
          <c:dPt>
            <c:idx val="0"/>
            <c:bubble3D val="0"/>
            <c:spPr>
              <a:solidFill>
                <a:srgbClr val="25A244"/>
              </a:solidFill>
              <a:ln w="19050">
                <a:solidFill>
                  <a:schemeClr val="lt1"/>
                </a:solidFill>
              </a:ln>
              <a:effectLst/>
            </c:spPr>
            <c:extLst>
              <c:ext xmlns:c16="http://schemas.microsoft.com/office/drawing/2014/chart" uri="{C3380CC4-5D6E-409C-BE32-E72D297353CC}">
                <c16:uniqueId val="{00000001-31F5-4417-B780-FF34B3379470}"/>
              </c:ext>
            </c:extLst>
          </c:dPt>
          <c:dPt>
            <c:idx val="1"/>
            <c:bubble3D val="0"/>
            <c:spPr>
              <a:solidFill>
                <a:srgbClr val="6EDE8A"/>
              </a:solidFill>
              <a:ln w="19050">
                <a:solidFill>
                  <a:schemeClr val="lt1"/>
                </a:solidFill>
              </a:ln>
              <a:effectLst/>
            </c:spPr>
            <c:extLst>
              <c:ext xmlns:c16="http://schemas.microsoft.com/office/drawing/2014/chart" uri="{C3380CC4-5D6E-409C-BE32-E72D297353CC}">
                <c16:uniqueId val="{00000003-31F5-4417-B780-FF34B3379470}"/>
              </c:ext>
            </c:extLst>
          </c:dPt>
          <c:dPt>
            <c:idx val="2"/>
            <c:bubble3D val="0"/>
            <c:spPr>
              <a:solidFill>
                <a:srgbClr val="B7EFC5"/>
              </a:solidFill>
              <a:ln w="19050">
                <a:solidFill>
                  <a:schemeClr val="lt1"/>
                </a:solidFill>
              </a:ln>
              <a:effectLst/>
            </c:spPr>
            <c:extLst>
              <c:ext xmlns:c16="http://schemas.microsoft.com/office/drawing/2014/chart" uri="{C3380CC4-5D6E-409C-BE32-E72D297353CC}">
                <c16:uniqueId val="{00000005-31F5-4417-B780-FF34B33794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F5-4417-B780-FF34B3379470}"/>
              </c:ext>
            </c:extLst>
          </c:dPt>
          <c:dPt>
            <c:idx val="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9-31F5-4417-B780-FF34B3379470}"/>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31F5-4417-B780-FF34B3379470}"/>
              </c:ext>
            </c:extLst>
          </c:dPt>
          <c:cat>
            <c:strRef>
              <c:f>Calculations!$E$35:$E$40</c:f>
              <c:strCache>
                <c:ptCount val="3"/>
                <c:pt idx="0">
                  <c:v>Employment (Net)</c:v>
                </c:pt>
                <c:pt idx="1">
                  <c:v>Dividends</c:v>
                </c:pt>
                <c:pt idx="2">
                  <c:v>Side Hustle( Net)</c:v>
                </c:pt>
              </c:strCache>
            </c:strRef>
          </c:cat>
          <c:val>
            <c:numRef>
              <c:f>Calculations!$F$35:$F$40</c:f>
              <c:numCache>
                <c:formatCode>_(* #,##0.0_);_(* \(#,##0.0\);_(* "-"??_);_(@_)</c:formatCode>
                <c:ptCount val="6"/>
                <c:pt idx="0">
                  <c:v>3500</c:v>
                </c:pt>
                <c:pt idx="1">
                  <c:v>400</c:v>
                </c:pt>
                <c:pt idx="2">
                  <c:v>200</c:v>
                </c:pt>
                <c:pt idx="3">
                  <c:v>0</c:v>
                </c:pt>
                <c:pt idx="4">
                  <c:v>0</c:v>
                </c:pt>
                <c:pt idx="5">
                  <c:v>0</c:v>
                </c:pt>
              </c:numCache>
            </c:numRef>
          </c:val>
          <c:extLst>
            <c:ext xmlns:c16="http://schemas.microsoft.com/office/drawing/2014/chart" uri="{C3380CC4-5D6E-409C-BE32-E72D297353CC}">
              <c16:uniqueId val="{0000000C-31F5-4417-B780-FF34B337947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15547595675736"/>
          <c:y val="5.185397491928731E-2"/>
          <c:w val="0.83684452404324261"/>
          <c:h val="0.81013822488070464"/>
        </c:manualLayout>
      </c:layout>
      <c:doughnutChart>
        <c:varyColors val="1"/>
        <c:ser>
          <c:idx val="0"/>
          <c:order val="0"/>
          <c:dPt>
            <c:idx val="0"/>
            <c:bubble3D val="0"/>
            <c:spPr>
              <a:solidFill>
                <a:srgbClr val="FF0A54"/>
              </a:solidFill>
              <a:ln w="19050">
                <a:solidFill>
                  <a:schemeClr val="lt1"/>
                </a:solidFill>
              </a:ln>
              <a:effectLst/>
            </c:spPr>
            <c:extLst>
              <c:ext xmlns:c16="http://schemas.microsoft.com/office/drawing/2014/chart" uri="{C3380CC4-5D6E-409C-BE32-E72D297353CC}">
                <c16:uniqueId val="{00000001-6828-485F-91EE-C6538C30BC49}"/>
              </c:ext>
            </c:extLst>
          </c:dPt>
          <c:dPt>
            <c:idx val="1"/>
            <c:bubble3D val="0"/>
            <c:spPr>
              <a:solidFill>
                <a:srgbClr val="FF477E"/>
              </a:solidFill>
              <a:ln w="19050">
                <a:solidFill>
                  <a:schemeClr val="lt1"/>
                </a:solidFill>
              </a:ln>
              <a:effectLst/>
            </c:spPr>
            <c:extLst>
              <c:ext xmlns:c16="http://schemas.microsoft.com/office/drawing/2014/chart" uri="{C3380CC4-5D6E-409C-BE32-E72D297353CC}">
                <c16:uniqueId val="{00000003-6828-485F-91EE-C6538C30BC49}"/>
              </c:ext>
            </c:extLst>
          </c:dPt>
          <c:dPt>
            <c:idx val="2"/>
            <c:bubble3D val="0"/>
            <c:spPr>
              <a:solidFill>
                <a:srgbClr val="FF7096"/>
              </a:solidFill>
              <a:ln w="19050">
                <a:solidFill>
                  <a:schemeClr val="lt1"/>
                </a:solidFill>
              </a:ln>
              <a:effectLst/>
            </c:spPr>
            <c:extLst>
              <c:ext xmlns:c16="http://schemas.microsoft.com/office/drawing/2014/chart" uri="{C3380CC4-5D6E-409C-BE32-E72D297353CC}">
                <c16:uniqueId val="{00000005-6828-485F-91EE-C6538C30BC49}"/>
              </c:ext>
            </c:extLst>
          </c:dPt>
          <c:dPt>
            <c:idx val="3"/>
            <c:bubble3D val="0"/>
            <c:spPr>
              <a:solidFill>
                <a:srgbClr val="FBB1BD"/>
              </a:solidFill>
              <a:ln w="19050">
                <a:solidFill>
                  <a:schemeClr val="lt1"/>
                </a:solidFill>
              </a:ln>
              <a:effectLst/>
            </c:spPr>
            <c:extLst>
              <c:ext xmlns:c16="http://schemas.microsoft.com/office/drawing/2014/chart" uri="{C3380CC4-5D6E-409C-BE32-E72D297353CC}">
                <c16:uniqueId val="{00000007-6828-485F-91EE-C6538C30BC49}"/>
              </c:ext>
            </c:extLst>
          </c:dPt>
          <c:dPt>
            <c:idx val="4"/>
            <c:bubble3D val="0"/>
            <c:spPr>
              <a:solidFill>
                <a:srgbClr val="F7CAD0"/>
              </a:solidFill>
              <a:ln w="19050">
                <a:solidFill>
                  <a:schemeClr val="lt1"/>
                </a:solidFill>
              </a:ln>
              <a:effectLst/>
            </c:spPr>
            <c:extLst>
              <c:ext xmlns:c16="http://schemas.microsoft.com/office/drawing/2014/chart" uri="{C3380CC4-5D6E-409C-BE32-E72D297353CC}">
                <c16:uniqueId val="{00000009-6828-485F-91EE-C6538C30BC49}"/>
              </c:ext>
            </c:extLst>
          </c:dPt>
          <c:dPt>
            <c:idx val="5"/>
            <c:bubble3D val="0"/>
            <c:spPr>
              <a:solidFill>
                <a:srgbClr val="FAE0E4"/>
              </a:solidFill>
              <a:ln w="19050">
                <a:solidFill>
                  <a:schemeClr val="lt1"/>
                </a:solidFill>
              </a:ln>
              <a:effectLst/>
            </c:spPr>
            <c:extLst>
              <c:ext xmlns:c16="http://schemas.microsoft.com/office/drawing/2014/chart" uri="{C3380CC4-5D6E-409C-BE32-E72D297353CC}">
                <c16:uniqueId val="{0000000B-6828-485F-91EE-C6538C30BC49}"/>
              </c:ext>
            </c:extLst>
          </c:dPt>
          <c:cat>
            <c:strRef>
              <c:f>Calculations!$I$35:$I$40</c:f>
              <c:strCache>
                <c:ptCount val="6"/>
                <c:pt idx="0">
                  <c:v>Utilities (house media fees)</c:v>
                </c:pt>
                <c:pt idx="1">
                  <c:v>Enter Expense Catergory</c:v>
                </c:pt>
                <c:pt idx="2">
                  <c:v>Health &amp; Wellnes</c:v>
                </c:pt>
                <c:pt idx="3">
                  <c:v>Family Tax</c:v>
                </c:pt>
                <c:pt idx="4">
                  <c:v>Groceries</c:v>
                </c:pt>
                <c:pt idx="5">
                  <c:v>Other</c:v>
                </c:pt>
              </c:strCache>
            </c:strRef>
          </c:cat>
          <c:val>
            <c:numRef>
              <c:f>Calculations!$J$35:$J$40</c:f>
              <c:numCache>
                <c:formatCode>_(* #,##0.0_);_(* \(#,##0.0\);_(* "-"??_);_(@_)</c:formatCode>
                <c:ptCount val="6"/>
                <c:pt idx="0">
                  <c:v>800</c:v>
                </c:pt>
                <c:pt idx="1">
                  <c:v>600</c:v>
                </c:pt>
                <c:pt idx="2">
                  <c:v>500</c:v>
                </c:pt>
                <c:pt idx="3">
                  <c:v>400</c:v>
                </c:pt>
                <c:pt idx="4">
                  <c:v>200</c:v>
                </c:pt>
                <c:pt idx="5">
                  <c:v>1450</c:v>
                </c:pt>
              </c:numCache>
            </c:numRef>
          </c:val>
          <c:extLst>
            <c:ext xmlns:c16="http://schemas.microsoft.com/office/drawing/2014/chart" uri="{C3380CC4-5D6E-409C-BE32-E72D297353CC}">
              <c16:uniqueId val="{0000000C-6828-485F-91EE-C6538C30BC4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15547595675736"/>
          <c:y val="5.185397491928731E-2"/>
          <c:w val="0.83684452404324261"/>
          <c:h val="0.81013822488070464"/>
        </c:manualLayout>
      </c:layout>
      <c:doughnutChart>
        <c:varyColors val="1"/>
        <c:ser>
          <c:idx val="0"/>
          <c:order val="0"/>
          <c:dPt>
            <c:idx val="0"/>
            <c:bubble3D val="0"/>
            <c:spPr>
              <a:solidFill>
                <a:srgbClr val="1565C0"/>
              </a:solidFill>
              <a:ln w="19050">
                <a:solidFill>
                  <a:schemeClr val="lt1"/>
                </a:solidFill>
              </a:ln>
              <a:effectLst/>
            </c:spPr>
            <c:extLst>
              <c:ext xmlns:c16="http://schemas.microsoft.com/office/drawing/2014/chart" uri="{C3380CC4-5D6E-409C-BE32-E72D297353CC}">
                <c16:uniqueId val="{00000001-F97F-4360-970E-E744ED97104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F97F-4360-970E-E744ED97104F}"/>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F97F-4360-970E-E744ED97104F}"/>
              </c:ext>
            </c:extLst>
          </c:dPt>
          <c:dPt>
            <c:idx val="3"/>
            <c:bubble3D val="0"/>
            <c:spPr>
              <a:solidFill>
                <a:srgbClr val="12C1DE"/>
              </a:solidFill>
              <a:ln w="19050">
                <a:solidFill>
                  <a:schemeClr val="lt1"/>
                </a:solidFill>
              </a:ln>
              <a:effectLst/>
            </c:spPr>
            <c:extLst>
              <c:ext xmlns:c16="http://schemas.microsoft.com/office/drawing/2014/chart" uri="{C3380CC4-5D6E-409C-BE32-E72D297353CC}">
                <c16:uniqueId val="{00000007-F97F-4360-970E-E744ED97104F}"/>
              </c:ext>
            </c:extLst>
          </c:dPt>
          <c:dPt>
            <c:idx val="4"/>
            <c:bubble3D val="0"/>
            <c:spPr>
              <a:solidFill>
                <a:srgbClr val="95F3DF"/>
              </a:solidFill>
              <a:ln w="19050">
                <a:solidFill>
                  <a:schemeClr val="lt1"/>
                </a:solidFill>
              </a:ln>
              <a:effectLst/>
            </c:spPr>
            <c:extLst>
              <c:ext xmlns:c16="http://schemas.microsoft.com/office/drawing/2014/chart" uri="{C3380CC4-5D6E-409C-BE32-E72D297353CC}">
                <c16:uniqueId val="{00000009-F97F-4360-970E-E744ED97104F}"/>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F97F-4360-970E-E744ED97104F}"/>
              </c:ext>
            </c:extLst>
          </c:dPt>
          <c:cat>
            <c:strRef>
              <c:f>Calculations!$M$35:$M$40</c:f>
              <c:strCache>
                <c:ptCount val="1"/>
                <c:pt idx="0">
                  <c:v>Emergency Fund</c:v>
                </c:pt>
              </c:strCache>
            </c:strRef>
          </c:cat>
          <c:val>
            <c:numRef>
              <c:f>Calculations!$N$35:$N$40</c:f>
              <c:numCache>
                <c:formatCode>_(* #,##0.0_);_(* \(#,##0.0\);_(* "-"??_);_(@_)</c:formatCode>
                <c:ptCount val="6"/>
                <c:pt idx="0">
                  <c:v>100</c:v>
                </c:pt>
                <c:pt idx="1">
                  <c:v>0</c:v>
                </c:pt>
                <c:pt idx="2">
                  <c:v>0</c:v>
                </c:pt>
                <c:pt idx="3">
                  <c:v>0</c:v>
                </c:pt>
                <c:pt idx="4">
                  <c:v>0</c:v>
                </c:pt>
                <c:pt idx="5">
                  <c:v>0</c:v>
                </c:pt>
              </c:numCache>
            </c:numRef>
          </c:val>
          <c:extLst>
            <c:ext xmlns:c16="http://schemas.microsoft.com/office/drawing/2014/chart" uri="{C3380CC4-5D6E-409C-BE32-E72D297353CC}">
              <c16:uniqueId val="{0000000C-F97F-4360-970E-E744ED97104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448228705844085E-2"/>
          <c:y val="3.406699574251968E-2"/>
          <c:w val="0.88915346984838162"/>
          <c:h val="0.85941686423586883"/>
        </c:manualLayout>
      </c:layout>
      <c:barChart>
        <c:barDir val="col"/>
        <c:grouping val="stacked"/>
        <c:varyColors val="0"/>
        <c:ser>
          <c:idx val="0"/>
          <c:order val="0"/>
          <c:spPr>
            <a:solidFill>
              <a:srgbClr val="92D050"/>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C368-4BE5-9182-B0D8D5D6E4C5}"/>
              </c:ext>
            </c:extLst>
          </c:dPt>
          <c:dPt>
            <c:idx val="2"/>
            <c:invertIfNegative val="0"/>
            <c:bubble3D val="0"/>
            <c:spPr>
              <a:solidFill>
                <a:srgbClr val="00B0F0"/>
              </a:solidFill>
              <a:ln>
                <a:noFill/>
              </a:ln>
              <a:effectLst/>
            </c:spPr>
            <c:extLst>
              <c:ext xmlns:c16="http://schemas.microsoft.com/office/drawing/2014/chart" uri="{C3380CC4-5D6E-409C-BE32-E72D297353CC}">
                <c16:uniqueId val="{00000003-C368-4BE5-9182-B0D8D5D6E4C5}"/>
              </c:ext>
            </c:extLst>
          </c:dPt>
          <c:dPt>
            <c:idx val="5"/>
            <c:invertIfNegative val="0"/>
            <c:bubble3D val="0"/>
            <c:spPr>
              <a:solidFill>
                <a:srgbClr val="FF0000"/>
              </a:solidFill>
              <a:ln>
                <a:noFill/>
              </a:ln>
              <a:effectLst/>
            </c:spPr>
            <c:extLst>
              <c:ext xmlns:c16="http://schemas.microsoft.com/office/drawing/2014/chart" uri="{C3380CC4-5D6E-409C-BE32-E72D297353CC}">
                <c16:uniqueId val="{00000005-C368-4BE5-9182-B0D8D5D6E4C5}"/>
              </c:ext>
            </c:extLst>
          </c:dPt>
          <c:dPt>
            <c:idx val="6"/>
            <c:invertIfNegative val="0"/>
            <c:bubble3D val="0"/>
            <c:spPr>
              <a:solidFill>
                <a:srgbClr val="00B0F0"/>
              </a:solidFill>
              <a:ln>
                <a:noFill/>
              </a:ln>
              <a:effectLst/>
            </c:spPr>
            <c:extLst>
              <c:ext xmlns:c16="http://schemas.microsoft.com/office/drawing/2014/chart" uri="{C3380CC4-5D6E-409C-BE32-E72D297353CC}">
                <c16:uniqueId val="{00000007-C368-4BE5-9182-B0D8D5D6E4C5}"/>
              </c:ext>
            </c:extLst>
          </c:dPt>
          <c:dPt>
            <c:idx val="9"/>
            <c:invertIfNegative val="0"/>
            <c:bubble3D val="0"/>
            <c:spPr>
              <a:solidFill>
                <a:srgbClr val="FF0000"/>
              </a:solidFill>
              <a:ln>
                <a:noFill/>
              </a:ln>
              <a:effectLst/>
            </c:spPr>
            <c:extLst>
              <c:ext xmlns:c16="http://schemas.microsoft.com/office/drawing/2014/chart" uri="{C3380CC4-5D6E-409C-BE32-E72D297353CC}">
                <c16:uniqueId val="{00000009-C368-4BE5-9182-B0D8D5D6E4C5}"/>
              </c:ext>
            </c:extLst>
          </c:dPt>
          <c:dPt>
            <c:idx val="10"/>
            <c:invertIfNegative val="0"/>
            <c:bubble3D val="0"/>
            <c:spPr>
              <a:solidFill>
                <a:srgbClr val="00B0F0"/>
              </a:solidFill>
              <a:ln>
                <a:noFill/>
              </a:ln>
              <a:effectLst/>
            </c:spPr>
            <c:extLst>
              <c:ext xmlns:c16="http://schemas.microsoft.com/office/drawing/2014/chart" uri="{C3380CC4-5D6E-409C-BE32-E72D297353CC}">
                <c16:uniqueId val="{0000000B-C368-4BE5-9182-B0D8D5D6E4C5}"/>
              </c:ext>
            </c:extLst>
          </c:dPt>
          <c:dPt>
            <c:idx val="13"/>
            <c:invertIfNegative val="0"/>
            <c:bubble3D val="0"/>
            <c:spPr>
              <a:solidFill>
                <a:srgbClr val="FF0000"/>
              </a:solidFill>
              <a:ln>
                <a:noFill/>
              </a:ln>
              <a:effectLst/>
            </c:spPr>
            <c:extLst>
              <c:ext xmlns:c16="http://schemas.microsoft.com/office/drawing/2014/chart" uri="{C3380CC4-5D6E-409C-BE32-E72D297353CC}">
                <c16:uniqueId val="{0000000D-C368-4BE5-9182-B0D8D5D6E4C5}"/>
              </c:ext>
            </c:extLst>
          </c:dPt>
          <c:dPt>
            <c:idx val="14"/>
            <c:invertIfNegative val="0"/>
            <c:bubble3D val="0"/>
            <c:spPr>
              <a:solidFill>
                <a:srgbClr val="00B0F0"/>
              </a:solidFill>
              <a:ln>
                <a:noFill/>
              </a:ln>
              <a:effectLst/>
            </c:spPr>
            <c:extLst>
              <c:ext xmlns:c16="http://schemas.microsoft.com/office/drawing/2014/chart" uri="{C3380CC4-5D6E-409C-BE32-E72D297353CC}">
                <c16:uniqueId val="{0000000F-C368-4BE5-9182-B0D8D5D6E4C5}"/>
              </c:ext>
            </c:extLst>
          </c:dPt>
          <c:dPt>
            <c:idx val="16"/>
            <c:invertIfNegative val="0"/>
            <c:bubble3D val="0"/>
            <c:spPr>
              <a:solidFill>
                <a:srgbClr val="FF0000"/>
              </a:solidFill>
              <a:ln>
                <a:noFill/>
              </a:ln>
              <a:effectLst/>
            </c:spPr>
            <c:extLst>
              <c:ext xmlns:c16="http://schemas.microsoft.com/office/drawing/2014/chart" uri="{C3380CC4-5D6E-409C-BE32-E72D297353CC}">
                <c16:uniqueId val="{00000094-C368-4BE5-9182-B0D8D5D6E4C5}"/>
              </c:ext>
            </c:extLst>
          </c:dPt>
          <c:dPt>
            <c:idx val="17"/>
            <c:invertIfNegative val="0"/>
            <c:bubble3D val="0"/>
            <c:spPr>
              <a:solidFill>
                <a:srgbClr val="00B0F0"/>
              </a:solidFill>
              <a:ln>
                <a:noFill/>
              </a:ln>
              <a:effectLst/>
            </c:spPr>
            <c:extLst>
              <c:ext xmlns:c16="http://schemas.microsoft.com/office/drawing/2014/chart" uri="{C3380CC4-5D6E-409C-BE32-E72D297353CC}">
                <c16:uniqueId val="{00000011-C368-4BE5-9182-B0D8D5D6E4C5}"/>
              </c:ext>
            </c:extLst>
          </c:dPt>
          <c:dPt>
            <c:idx val="18"/>
            <c:invertIfNegative val="0"/>
            <c:bubble3D val="0"/>
            <c:spPr>
              <a:solidFill>
                <a:srgbClr val="00B0F0"/>
              </a:solidFill>
              <a:ln>
                <a:noFill/>
              </a:ln>
              <a:effectLst/>
            </c:spPr>
            <c:extLst>
              <c:ext xmlns:c16="http://schemas.microsoft.com/office/drawing/2014/chart" uri="{C3380CC4-5D6E-409C-BE32-E72D297353CC}">
                <c16:uniqueId val="{00000013-C368-4BE5-9182-B0D8D5D6E4C5}"/>
              </c:ext>
            </c:extLst>
          </c:dPt>
          <c:dPt>
            <c:idx val="21"/>
            <c:invertIfNegative val="0"/>
            <c:bubble3D val="0"/>
            <c:spPr>
              <a:solidFill>
                <a:srgbClr val="FF0000"/>
              </a:solidFill>
              <a:ln>
                <a:noFill/>
              </a:ln>
              <a:effectLst/>
            </c:spPr>
            <c:extLst>
              <c:ext xmlns:c16="http://schemas.microsoft.com/office/drawing/2014/chart" uri="{C3380CC4-5D6E-409C-BE32-E72D297353CC}">
                <c16:uniqueId val="{00000015-C368-4BE5-9182-B0D8D5D6E4C5}"/>
              </c:ext>
            </c:extLst>
          </c:dPt>
          <c:dPt>
            <c:idx val="22"/>
            <c:invertIfNegative val="0"/>
            <c:bubble3D val="0"/>
            <c:spPr>
              <a:solidFill>
                <a:srgbClr val="00B0F0"/>
              </a:solidFill>
              <a:ln>
                <a:noFill/>
              </a:ln>
              <a:effectLst/>
            </c:spPr>
            <c:extLst>
              <c:ext xmlns:c16="http://schemas.microsoft.com/office/drawing/2014/chart" uri="{C3380CC4-5D6E-409C-BE32-E72D297353CC}">
                <c16:uniqueId val="{00000017-C368-4BE5-9182-B0D8D5D6E4C5}"/>
              </c:ext>
            </c:extLst>
          </c:dPt>
          <c:dPt>
            <c:idx val="25"/>
            <c:invertIfNegative val="0"/>
            <c:bubble3D val="0"/>
            <c:spPr>
              <a:solidFill>
                <a:srgbClr val="FF0000"/>
              </a:solidFill>
              <a:ln>
                <a:noFill/>
              </a:ln>
              <a:effectLst/>
            </c:spPr>
            <c:extLst>
              <c:ext xmlns:c16="http://schemas.microsoft.com/office/drawing/2014/chart" uri="{C3380CC4-5D6E-409C-BE32-E72D297353CC}">
                <c16:uniqueId val="{00000019-C368-4BE5-9182-B0D8D5D6E4C5}"/>
              </c:ext>
            </c:extLst>
          </c:dPt>
          <c:dPt>
            <c:idx val="26"/>
            <c:invertIfNegative val="0"/>
            <c:bubble3D val="0"/>
            <c:spPr>
              <a:solidFill>
                <a:srgbClr val="00B0F0"/>
              </a:solidFill>
              <a:ln>
                <a:noFill/>
              </a:ln>
              <a:effectLst/>
            </c:spPr>
            <c:extLst>
              <c:ext xmlns:c16="http://schemas.microsoft.com/office/drawing/2014/chart" uri="{C3380CC4-5D6E-409C-BE32-E72D297353CC}">
                <c16:uniqueId val="{0000001B-C368-4BE5-9182-B0D8D5D6E4C5}"/>
              </c:ext>
            </c:extLst>
          </c:dPt>
          <c:dPt>
            <c:idx val="29"/>
            <c:invertIfNegative val="0"/>
            <c:bubble3D val="0"/>
            <c:spPr>
              <a:solidFill>
                <a:srgbClr val="FF0000"/>
              </a:solidFill>
              <a:ln>
                <a:noFill/>
              </a:ln>
              <a:effectLst/>
            </c:spPr>
            <c:extLst>
              <c:ext xmlns:c16="http://schemas.microsoft.com/office/drawing/2014/chart" uri="{C3380CC4-5D6E-409C-BE32-E72D297353CC}">
                <c16:uniqueId val="{0000001D-C368-4BE5-9182-B0D8D5D6E4C5}"/>
              </c:ext>
            </c:extLst>
          </c:dPt>
          <c:dPt>
            <c:idx val="30"/>
            <c:invertIfNegative val="0"/>
            <c:bubble3D val="0"/>
            <c:spPr>
              <a:solidFill>
                <a:srgbClr val="00B0F0"/>
              </a:solidFill>
              <a:ln>
                <a:noFill/>
              </a:ln>
              <a:effectLst/>
            </c:spPr>
            <c:extLst>
              <c:ext xmlns:c16="http://schemas.microsoft.com/office/drawing/2014/chart" uri="{C3380CC4-5D6E-409C-BE32-E72D297353CC}">
                <c16:uniqueId val="{0000001F-C368-4BE5-9182-B0D8D5D6E4C5}"/>
              </c:ext>
            </c:extLst>
          </c:dPt>
          <c:dPt>
            <c:idx val="33"/>
            <c:invertIfNegative val="0"/>
            <c:bubble3D val="0"/>
            <c:spPr>
              <a:solidFill>
                <a:srgbClr val="FF0000"/>
              </a:solidFill>
              <a:ln>
                <a:noFill/>
              </a:ln>
              <a:effectLst/>
            </c:spPr>
            <c:extLst>
              <c:ext xmlns:c16="http://schemas.microsoft.com/office/drawing/2014/chart" uri="{C3380CC4-5D6E-409C-BE32-E72D297353CC}">
                <c16:uniqueId val="{00000021-C368-4BE5-9182-B0D8D5D6E4C5}"/>
              </c:ext>
            </c:extLst>
          </c:dPt>
          <c:dPt>
            <c:idx val="34"/>
            <c:invertIfNegative val="0"/>
            <c:bubble3D val="0"/>
            <c:spPr>
              <a:solidFill>
                <a:srgbClr val="00B0F0"/>
              </a:solidFill>
              <a:ln>
                <a:noFill/>
              </a:ln>
              <a:effectLst/>
            </c:spPr>
            <c:extLst>
              <c:ext xmlns:c16="http://schemas.microsoft.com/office/drawing/2014/chart" uri="{C3380CC4-5D6E-409C-BE32-E72D297353CC}">
                <c16:uniqueId val="{00000023-C368-4BE5-9182-B0D8D5D6E4C5}"/>
              </c:ext>
            </c:extLst>
          </c:dPt>
          <c:dPt>
            <c:idx val="37"/>
            <c:invertIfNegative val="0"/>
            <c:bubble3D val="0"/>
            <c:spPr>
              <a:solidFill>
                <a:srgbClr val="FF0000"/>
              </a:solidFill>
              <a:ln>
                <a:noFill/>
              </a:ln>
              <a:effectLst/>
            </c:spPr>
            <c:extLst>
              <c:ext xmlns:c16="http://schemas.microsoft.com/office/drawing/2014/chart" uri="{C3380CC4-5D6E-409C-BE32-E72D297353CC}">
                <c16:uniqueId val="{00000025-C368-4BE5-9182-B0D8D5D6E4C5}"/>
              </c:ext>
            </c:extLst>
          </c:dPt>
          <c:dPt>
            <c:idx val="38"/>
            <c:invertIfNegative val="0"/>
            <c:bubble3D val="0"/>
            <c:spPr>
              <a:solidFill>
                <a:srgbClr val="00B0F0"/>
              </a:solidFill>
              <a:ln>
                <a:noFill/>
              </a:ln>
              <a:effectLst/>
            </c:spPr>
            <c:extLst>
              <c:ext xmlns:c16="http://schemas.microsoft.com/office/drawing/2014/chart" uri="{C3380CC4-5D6E-409C-BE32-E72D297353CC}">
                <c16:uniqueId val="{00000027-C368-4BE5-9182-B0D8D5D6E4C5}"/>
              </c:ext>
            </c:extLst>
          </c:dPt>
          <c:dPt>
            <c:idx val="41"/>
            <c:invertIfNegative val="0"/>
            <c:bubble3D val="0"/>
            <c:spPr>
              <a:solidFill>
                <a:srgbClr val="FF0000"/>
              </a:solidFill>
              <a:ln>
                <a:noFill/>
              </a:ln>
              <a:effectLst/>
            </c:spPr>
            <c:extLst>
              <c:ext xmlns:c16="http://schemas.microsoft.com/office/drawing/2014/chart" uri="{C3380CC4-5D6E-409C-BE32-E72D297353CC}">
                <c16:uniqueId val="{00000029-C368-4BE5-9182-B0D8D5D6E4C5}"/>
              </c:ext>
            </c:extLst>
          </c:dPt>
          <c:dPt>
            <c:idx val="42"/>
            <c:invertIfNegative val="0"/>
            <c:bubble3D val="0"/>
            <c:spPr>
              <a:solidFill>
                <a:srgbClr val="00B0F0"/>
              </a:solidFill>
              <a:ln>
                <a:noFill/>
              </a:ln>
              <a:effectLst/>
            </c:spPr>
            <c:extLst>
              <c:ext xmlns:c16="http://schemas.microsoft.com/office/drawing/2014/chart" uri="{C3380CC4-5D6E-409C-BE32-E72D297353CC}">
                <c16:uniqueId val="{0000002B-C368-4BE5-9182-B0D8D5D6E4C5}"/>
              </c:ext>
            </c:extLst>
          </c:dPt>
          <c:dPt>
            <c:idx val="45"/>
            <c:invertIfNegative val="0"/>
            <c:bubble3D val="0"/>
            <c:spPr>
              <a:solidFill>
                <a:srgbClr val="FF0000"/>
              </a:solidFill>
              <a:ln>
                <a:noFill/>
              </a:ln>
              <a:effectLst/>
            </c:spPr>
            <c:extLst>
              <c:ext xmlns:c16="http://schemas.microsoft.com/office/drawing/2014/chart" uri="{C3380CC4-5D6E-409C-BE32-E72D297353CC}">
                <c16:uniqueId val="{0000002D-C368-4BE5-9182-B0D8D5D6E4C5}"/>
              </c:ext>
            </c:extLst>
          </c:dPt>
          <c:dPt>
            <c:idx val="46"/>
            <c:invertIfNegative val="0"/>
            <c:bubble3D val="0"/>
            <c:spPr>
              <a:solidFill>
                <a:srgbClr val="1976D2"/>
              </a:solidFill>
              <a:ln>
                <a:noFill/>
              </a:ln>
              <a:effectLst/>
            </c:spPr>
            <c:extLst>
              <c:ext xmlns:c16="http://schemas.microsoft.com/office/drawing/2014/chart" uri="{C3380CC4-5D6E-409C-BE32-E72D297353CC}">
                <c16:uniqueId val="{0000002F-C368-4BE5-9182-B0D8D5D6E4C5}"/>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Calculations!$M$56:$M$102</c:f>
              <c:numCache>
                <c:formatCode>General</c:formatCode>
                <c:ptCount val="47"/>
                <c:pt idx="0">
                  <c:v>0</c:v>
                </c:pt>
                <c:pt idx="1">
                  <c:v>0</c:v>
                </c:pt>
                <c:pt idx="3">
                  <c:v>0</c:v>
                </c:pt>
                <c:pt idx="4">
                  <c:v>0</c:v>
                </c:pt>
                <c:pt idx="5">
                  <c:v>0</c:v>
                </c:pt>
                <c:pt idx="7">
                  <c:v>0</c:v>
                </c:pt>
                <c:pt idx="8">
                  <c:v>0</c:v>
                </c:pt>
                <c:pt idx="9">
                  <c:v>0</c:v>
                </c:pt>
                <c:pt idx="11">
                  <c:v>0</c:v>
                </c:pt>
                <c:pt idx="12">
                  <c:v>0</c:v>
                </c:pt>
                <c:pt idx="13">
                  <c:v>0</c:v>
                </c:pt>
                <c:pt idx="15">
                  <c:v>2700</c:v>
                </c:pt>
                <c:pt idx="16">
                  <c:v>2700</c:v>
                </c:pt>
                <c:pt idx="17">
                  <c:v>0</c:v>
                </c:pt>
                <c:pt idx="19">
                  <c:v>0</c:v>
                </c:pt>
                <c:pt idx="20">
                  <c:v>0</c:v>
                </c:pt>
                <c:pt idx="21">
                  <c:v>0</c:v>
                </c:pt>
                <c:pt idx="23">
                  <c:v>0</c:v>
                </c:pt>
                <c:pt idx="24">
                  <c:v>0</c:v>
                </c:pt>
                <c:pt idx="25">
                  <c:v>0</c:v>
                </c:pt>
                <c:pt idx="27">
                  <c:v>0</c:v>
                </c:pt>
                <c:pt idx="28">
                  <c:v>0</c:v>
                </c:pt>
                <c:pt idx="29">
                  <c:v>0</c:v>
                </c:pt>
                <c:pt idx="31">
                  <c:v>0</c:v>
                </c:pt>
                <c:pt idx="32">
                  <c:v>0</c:v>
                </c:pt>
                <c:pt idx="33">
                  <c:v>0</c:v>
                </c:pt>
                <c:pt idx="35">
                  <c:v>0</c:v>
                </c:pt>
                <c:pt idx="36">
                  <c:v>0</c:v>
                </c:pt>
                <c:pt idx="37">
                  <c:v>0</c:v>
                </c:pt>
                <c:pt idx="39">
                  <c:v>0</c:v>
                </c:pt>
                <c:pt idx="40">
                  <c:v>0</c:v>
                </c:pt>
                <c:pt idx="41">
                  <c:v>0</c:v>
                </c:pt>
                <c:pt idx="43">
                  <c:v>0</c:v>
                </c:pt>
                <c:pt idx="44">
                  <c:v>0</c:v>
                </c:pt>
                <c:pt idx="45">
                  <c:v>0</c:v>
                </c:pt>
              </c:numCache>
            </c:numRef>
          </c:val>
          <c:extLst>
            <c:ext xmlns:c16="http://schemas.microsoft.com/office/drawing/2014/chart" uri="{C3380CC4-5D6E-409C-BE32-E72D297353CC}">
              <c16:uniqueId val="{00000030-C368-4BE5-9182-B0D8D5D6E4C5}"/>
            </c:ext>
          </c:extLst>
        </c:ser>
        <c:ser>
          <c:idx val="1"/>
          <c:order val="1"/>
          <c:spPr>
            <a:solidFill>
              <a:schemeClr val="accent4">
                <a:lumMod val="40000"/>
                <a:lumOff val="60000"/>
              </a:schemeClr>
            </a:solidFill>
            <a:ln>
              <a:noFill/>
            </a:ln>
            <a:effectLst/>
          </c:spPr>
          <c:invertIfNegative val="0"/>
          <c:dPt>
            <c:idx val="1"/>
            <c:invertIfNegative val="0"/>
            <c:bubble3D val="0"/>
            <c:spPr>
              <a:solidFill>
                <a:srgbClr val="E1AA9F"/>
              </a:solidFill>
              <a:ln>
                <a:noFill/>
              </a:ln>
              <a:effectLst/>
            </c:spPr>
            <c:extLst>
              <c:ext xmlns:c16="http://schemas.microsoft.com/office/drawing/2014/chart" uri="{C3380CC4-5D6E-409C-BE32-E72D297353CC}">
                <c16:uniqueId val="{00000032-C368-4BE5-9182-B0D8D5D6E4C5}"/>
              </c:ext>
            </c:extLst>
          </c:dPt>
          <c:dPt>
            <c:idx val="2"/>
            <c:invertIfNegative val="0"/>
            <c:bubble3D val="0"/>
            <c:spPr>
              <a:solidFill>
                <a:srgbClr val="A5DCDB"/>
              </a:solidFill>
              <a:ln>
                <a:noFill/>
              </a:ln>
              <a:effectLst/>
            </c:spPr>
            <c:extLst>
              <c:ext xmlns:c16="http://schemas.microsoft.com/office/drawing/2014/chart" uri="{C3380CC4-5D6E-409C-BE32-E72D297353CC}">
                <c16:uniqueId val="{00000034-C368-4BE5-9182-B0D8D5D6E4C5}"/>
              </c:ext>
            </c:extLst>
          </c:dPt>
          <c:dPt>
            <c:idx val="5"/>
            <c:invertIfNegative val="0"/>
            <c:bubble3D val="0"/>
            <c:spPr>
              <a:solidFill>
                <a:srgbClr val="E1AA9F"/>
              </a:solidFill>
              <a:ln>
                <a:noFill/>
              </a:ln>
              <a:effectLst/>
            </c:spPr>
            <c:extLst>
              <c:ext xmlns:c16="http://schemas.microsoft.com/office/drawing/2014/chart" uri="{C3380CC4-5D6E-409C-BE32-E72D297353CC}">
                <c16:uniqueId val="{00000036-C368-4BE5-9182-B0D8D5D6E4C5}"/>
              </c:ext>
            </c:extLst>
          </c:dPt>
          <c:dPt>
            <c:idx val="6"/>
            <c:invertIfNegative val="0"/>
            <c:bubble3D val="0"/>
            <c:spPr>
              <a:solidFill>
                <a:srgbClr val="A5DCDB"/>
              </a:solidFill>
              <a:ln>
                <a:noFill/>
              </a:ln>
              <a:effectLst/>
            </c:spPr>
            <c:extLst>
              <c:ext xmlns:c16="http://schemas.microsoft.com/office/drawing/2014/chart" uri="{C3380CC4-5D6E-409C-BE32-E72D297353CC}">
                <c16:uniqueId val="{00000038-C368-4BE5-9182-B0D8D5D6E4C5}"/>
              </c:ext>
            </c:extLst>
          </c:dPt>
          <c:dPt>
            <c:idx val="9"/>
            <c:invertIfNegative val="0"/>
            <c:bubble3D val="0"/>
            <c:spPr>
              <a:solidFill>
                <a:srgbClr val="E1AA9F"/>
              </a:solidFill>
              <a:ln>
                <a:noFill/>
              </a:ln>
              <a:effectLst/>
            </c:spPr>
            <c:extLst>
              <c:ext xmlns:c16="http://schemas.microsoft.com/office/drawing/2014/chart" uri="{C3380CC4-5D6E-409C-BE32-E72D297353CC}">
                <c16:uniqueId val="{0000003A-C368-4BE5-9182-B0D8D5D6E4C5}"/>
              </c:ext>
            </c:extLst>
          </c:dPt>
          <c:dPt>
            <c:idx val="10"/>
            <c:invertIfNegative val="0"/>
            <c:bubble3D val="0"/>
            <c:spPr>
              <a:solidFill>
                <a:srgbClr val="A5DCDB"/>
              </a:solidFill>
              <a:ln>
                <a:noFill/>
              </a:ln>
              <a:effectLst/>
            </c:spPr>
            <c:extLst>
              <c:ext xmlns:c16="http://schemas.microsoft.com/office/drawing/2014/chart" uri="{C3380CC4-5D6E-409C-BE32-E72D297353CC}">
                <c16:uniqueId val="{0000003C-C368-4BE5-9182-B0D8D5D6E4C5}"/>
              </c:ext>
            </c:extLst>
          </c:dPt>
          <c:dPt>
            <c:idx val="13"/>
            <c:invertIfNegative val="0"/>
            <c:bubble3D val="0"/>
            <c:spPr>
              <a:solidFill>
                <a:srgbClr val="E1AA9F"/>
              </a:solidFill>
              <a:ln>
                <a:noFill/>
              </a:ln>
              <a:effectLst/>
            </c:spPr>
            <c:extLst>
              <c:ext xmlns:c16="http://schemas.microsoft.com/office/drawing/2014/chart" uri="{C3380CC4-5D6E-409C-BE32-E72D297353CC}">
                <c16:uniqueId val="{0000003E-C368-4BE5-9182-B0D8D5D6E4C5}"/>
              </c:ext>
            </c:extLst>
          </c:dPt>
          <c:dPt>
            <c:idx val="14"/>
            <c:invertIfNegative val="0"/>
            <c:bubble3D val="0"/>
            <c:spPr>
              <a:solidFill>
                <a:srgbClr val="A5DCDB"/>
              </a:solidFill>
              <a:ln>
                <a:noFill/>
              </a:ln>
              <a:effectLst/>
            </c:spPr>
            <c:extLst>
              <c:ext xmlns:c16="http://schemas.microsoft.com/office/drawing/2014/chart" uri="{C3380CC4-5D6E-409C-BE32-E72D297353CC}">
                <c16:uniqueId val="{00000040-C368-4BE5-9182-B0D8D5D6E4C5}"/>
              </c:ext>
            </c:extLst>
          </c:dPt>
          <c:dPt>
            <c:idx val="17"/>
            <c:invertIfNegative val="0"/>
            <c:bubble3D val="0"/>
            <c:spPr>
              <a:solidFill>
                <a:srgbClr val="DAF7DC"/>
              </a:solidFill>
              <a:ln>
                <a:noFill/>
              </a:ln>
              <a:effectLst/>
            </c:spPr>
            <c:extLst>
              <c:ext xmlns:c16="http://schemas.microsoft.com/office/drawing/2014/chart" uri="{C3380CC4-5D6E-409C-BE32-E72D297353CC}">
                <c16:uniqueId val="{00000042-C368-4BE5-9182-B0D8D5D6E4C5}"/>
              </c:ext>
            </c:extLst>
          </c:dPt>
          <c:dPt>
            <c:idx val="21"/>
            <c:invertIfNegative val="0"/>
            <c:bubble3D val="0"/>
            <c:spPr>
              <a:solidFill>
                <a:srgbClr val="E1AA9F"/>
              </a:solidFill>
              <a:ln>
                <a:noFill/>
              </a:ln>
              <a:effectLst/>
            </c:spPr>
            <c:extLst>
              <c:ext xmlns:c16="http://schemas.microsoft.com/office/drawing/2014/chart" uri="{C3380CC4-5D6E-409C-BE32-E72D297353CC}">
                <c16:uniqueId val="{00000044-C368-4BE5-9182-B0D8D5D6E4C5}"/>
              </c:ext>
            </c:extLst>
          </c:dPt>
          <c:dPt>
            <c:idx val="22"/>
            <c:invertIfNegative val="0"/>
            <c:bubble3D val="0"/>
            <c:spPr>
              <a:solidFill>
                <a:srgbClr val="A5DCDB"/>
              </a:solidFill>
              <a:ln>
                <a:noFill/>
              </a:ln>
              <a:effectLst/>
            </c:spPr>
            <c:extLst>
              <c:ext xmlns:c16="http://schemas.microsoft.com/office/drawing/2014/chart" uri="{C3380CC4-5D6E-409C-BE32-E72D297353CC}">
                <c16:uniqueId val="{00000046-C368-4BE5-9182-B0D8D5D6E4C5}"/>
              </c:ext>
            </c:extLst>
          </c:dPt>
          <c:dPt>
            <c:idx val="25"/>
            <c:invertIfNegative val="0"/>
            <c:bubble3D val="0"/>
            <c:spPr>
              <a:solidFill>
                <a:srgbClr val="E1AA9F"/>
              </a:solidFill>
              <a:ln>
                <a:noFill/>
              </a:ln>
              <a:effectLst/>
            </c:spPr>
            <c:extLst>
              <c:ext xmlns:c16="http://schemas.microsoft.com/office/drawing/2014/chart" uri="{C3380CC4-5D6E-409C-BE32-E72D297353CC}">
                <c16:uniqueId val="{00000048-C368-4BE5-9182-B0D8D5D6E4C5}"/>
              </c:ext>
            </c:extLst>
          </c:dPt>
          <c:dPt>
            <c:idx val="26"/>
            <c:invertIfNegative val="0"/>
            <c:bubble3D val="0"/>
            <c:spPr>
              <a:solidFill>
                <a:srgbClr val="A5DCDB"/>
              </a:solidFill>
              <a:ln>
                <a:noFill/>
              </a:ln>
              <a:effectLst/>
            </c:spPr>
            <c:extLst>
              <c:ext xmlns:c16="http://schemas.microsoft.com/office/drawing/2014/chart" uri="{C3380CC4-5D6E-409C-BE32-E72D297353CC}">
                <c16:uniqueId val="{0000004A-C368-4BE5-9182-B0D8D5D6E4C5}"/>
              </c:ext>
            </c:extLst>
          </c:dPt>
          <c:dPt>
            <c:idx val="29"/>
            <c:invertIfNegative val="0"/>
            <c:bubble3D val="0"/>
            <c:spPr>
              <a:solidFill>
                <a:srgbClr val="E1AA9F"/>
              </a:solidFill>
              <a:ln>
                <a:noFill/>
              </a:ln>
              <a:effectLst/>
            </c:spPr>
            <c:extLst>
              <c:ext xmlns:c16="http://schemas.microsoft.com/office/drawing/2014/chart" uri="{C3380CC4-5D6E-409C-BE32-E72D297353CC}">
                <c16:uniqueId val="{0000004C-C368-4BE5-9182-B0D8D5D6E4C5}"/>
              </c:ext>
            </c:extLst>
          </c:dPt>
          <c:dPt>
            <c:idx val="30"/>
            <c:invertIfNegative val="0"/>
            <c:bubble3D val="0"/>
            <c:spPr>
              <a:solidFill>
                <a:srgbClr val="A5DCDB"/>
              </a:solidFill>
              <a:ln>
                <a:noFill/>
              </a:ln>
              <a:effectLst/>
            </c:spPr>
            <c:extLst>
              <c:ext xmlns:c16="http://schemas.microsoft.com/office/drawing/2014/chart" uri="{C3380CC4-5D6E-409C-BE32-E72D297353CC}">
                <c16:uniqueId val="{0000004E-C368-4BE5-9182-B0D8D5D6E4C5}"/>
              </c:ext>
            </c:extLst>
          </c:dPt>
          <c:dPt>
            <c:idx val="33"/>
            <c:invertIfNegative val="0"/>
            <c:bubble3D val="0"/>
            <c:spPr>
              <a:solidFill>
                <a:srgbClr val="E1AA9F"/>
              </a:solidFill>
              <a:ln>
                <a:noFill/>
              </a:ln>
              <a:effectLst/>
            </c:spPr>
            <c:extLst>
              <c:ext xmlns:c16="http://schemas.microsoft.com/office/drawing/2014/chart" uri="{C3380CC4-5D6E-409C-BE32-E72D297353CC}">
                <c16:uniqueId val="{00000050-C368-4BE5-9182-B0D8D5D6E4C5}"/>
              </c:ext>
            </c:extLst>
          </c:dPt>
          <c:dPt>
            <c:idx val="37"/>
            <c:invertIfNegative val="0"/>
            <c:bubble3D val="0"/>
            <c:spPr>
              <a:solidFill>
                <a:srgbClr val="E1AA9F"/>
              </a:solidFill>
              <a:ln>
                <a:noFill/>
              </a:ln>
              <a:effectLst/>
            </c:spPr>
            <c:extLst>
              <c:ext xmlns:c16="http://schemas.microsoft.com/office/drawing/2014/chart" uri="{C3380CC4-5D6E-409C-BE32-E72D297353CC}">
                <c16:uniqueId val="{00000052-C368-4BE5-9182-B0D8D5D6E4C5}"/>
              </c:ext>
            </c:extLst>
          </c:dPt>
          <c:dPt>
            <c:idx val="38"/>
            <c:invertIfNegative val="0"/>
            <c:bubble3D val="0"/>
            <c:spPr>
              <a:solidFill>
                <a:srgbClr val="A5DCDB"/>
              </a:solidFill>
              <a:ln>
                <a:noFill/>
              </a:ln>
              <a:effectLst/>
            </c:spPr>
            <c:extLst>
              <c:ext xmlns:c16="http://schemas.microsoft.com/office/drawing/2014/chart" uri="{C3380CC4-5D6E-409C-BE32-E72D297353CC}">
                <c16:uniqueId val="{00000054-C368-4BE5-9182-B0D8D5D6E4C5}"/>
              </c:ext>
            </c:extLst>
          </c:dPt>
          <c:dPt>
            <c:idx val="41"/>
            <c:invertIfNegative val="0"/>
            <c:bubble3D val="0"/>
            <c:spPr>
              <a:solidFill>
                <a:srgbClr val="E1AA9F"/>
              </a:solidFill>
              <a:ln>
                <a:noFill/>
              </a:ln>
              <a:effectLst/>
            </c:spPr>
            <c:extLst>
              <c:ext xmlns:c16="http://schemas.microsoft.com/office/drawing/2014/chart" uri="{C3380CC4-5D6E-409C-BE32-E72D297353CC}">
                <c16:uniqueId val="{00000056-C368-4BE5-9182-B0D8D5D6E4C5}"/>
              </c:ext>
            </c:extLst>
          </c:dPt>
          <c:dPt>
            <c:idx val="42"/>
            <c:invertIfNegative val="0"/>
            <c:bubble3D val="0"/>
            <c:spPr>
              <a:solidFill>
                <a:srgbClr val="A5DCDB"/>
              </a:solidFill>
              <a:ln>
                <a:noFill/>
              </a:ln>
              <a:effectLst/>
            </c:spPr>
            <c:extLst>
              <c:ext xmlns:c16="http://schemas.microsoft.com/office/drawing/2014/chart" uri="{C3380CC4-5D6E-409C-BE32-E72D297353CC}">
                <c16:uniqueId val="{00000058-C368-4BE5-9182-B0D8D5D6E4C5}"/>
              </c:ext>
            </c:extLst>
          </c:dPt>
          <c:dPt>
            <c:idx val="45"/>
            <c:invertIfNegative val="0"/>
            <c:bubble3D val="0"/>
            <c:spPr>
              <a:solidFill>
                <a:srgbClr val="E1AA9F"/>
              </a:solidFill>
              <a:ln>
                <a:noFill/>
              </a:ln>
              <a:effectLst/>
            </c:spPr>
            <c:extLst>
              <c:ext xmlns:c16="http://schemas.microsoft.com/office/drawing/2014/chart" uri="{C3380CC4-5D6E-409C-BE32-E72D297353CC}">
                <c16:uniqueId val="{0000005A-C368-4BE5-9182-B0D8D5D6E4C5}"/>
              </c:ext>
            </c:extLst>
          </c:dPt>
          <c:dPt>
            <c:idx val="46"/>
            <c:invertIfNegative val="0"/>
            <c:bubble3D val="0"/>
            <c:spPr>
              <a:solidFill>
                <a:srgbClr val="A5DCDB"/>
              </a:solidFill>
              <a:ln>
                <a:noFill/>
              </a:ln>
              <a:effectLst/>
            </c:spPr>
            <c:extLst>
              <c:ext xmlns:c16="http://schemas.microsoft.com/office/drawing/2014/chart" uri="{C3380CC4-5D6E-409C-BE32-E72D297353CC}">
                <c16:uniqueId val="{0000005C-C368-4BE5-9182-B0D8D5D6E4C5}"/>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Calculations!$N$55:$N$102</c:f>
              <c:numCache>
                <c:formatCode>_(* #,##0.0_);_(* \(#,##0.0\);_(*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5D-C368-4BE5-9182-B0D8D5D6E4C5}"/>
            </c:ext>
          </c:extLst>
        </c:ser>
        <c:ser>
          <c:idx val="2"/>
          <c:order val="2"/>
          <c:spPr>
            <a:solidFill>
              <a:schemeClr val="accent4">
                <a:lumMod val="75000"/>
              </a:schemeClr>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5F-C368-4BE5-9182-B0D8D5D6E4C5}"/>
              </c:ext>
            </c:extLst>
          </c:dPt>
          <c:dPt>
            <c:idx val="2"/>
            <c:invertIfNegative val="0"/>
            <c:bubble3D val="0"/>
            <c:spPr>
              <a:solidFill>
                <a:srgbClr val="0070C0"/>
              </a:solidFill>
              <a:ln>
                <a:noFill/>
              </a:ln>
              <a:effectLst/>
            </c:spPr>
            <c:extLst>
              <c:ext xmlns:c16="http://schemas.microsoft.com/office/drawing/2014/chart" uri="{C3380CC4-5D6E-409C-BE32-E72D297353CC}">
                <c16:uniqueId val="{00000061-C368-4BE5-9182-B0D8D5D6E4C5}"/>
              </c:ext>
            </c:extLst>
          </c:dPt>
          <c:dPt>
            <c:idx val="5"/>
            <c:invertIfNegative val="0"/>
            <c:bubble3D val="0"/>
            <c:spPr>
              <a:solidFill>
                <a:srgbClr val="C00000"/>
              </a:solidFill>
              <a:ln>
                <a:noFill/>
              </a:ln>
              <a:effectLst/>
            </c:spPr>
            <c:extLst>
              <c:ext xmlns:c16="http://schemas.microsoft.com/office/drawing/2014/chart" uri="{C3380CC4-5D6E-409C-BE32-E72D297353CC}">
                <c16:uniqueId val="{00000063-C368-4BE5-9182-B0D8D5D6E4C5}"/>
              </c:ext>
            </c:extLst>
          </c:dPt>
          <c:dPt>
            <c:idx val="6"/>
            <c:invertIfNegative val="0"/>
            <c:bubble3D val="0"/>
            <c:spPr>
              <a:solidFill>
                <a:srgbClr val="0070C0"/>
              </a:solidFill>
              <a:ln>
                <a:noFill/>
              </a:ln>
              <a:effectLst/>
            </c:spPr>
            <c:extLst>
              <c:ext xmlns:c16="http://schemas.microsoft.com/office/drawing/2014/chart" uri="{C3380CC4-5D6E-409C-BE32-E72D297353CC}">
                <c16:uniqueId val="{00000065-C368-4BE5-9182-B0D8D5D6E4C5}"/>
              </c:ext>
            </c:extLst>
          </c:dPt>
          <c:dPt>
            <c:idx val="9"/>
            <c:invertIfNegative val="0"/>
            <c:bubble3D val="0"/>
            <c:spPr>
              <a:solidFill>
                <a:srgbClr val="C00000"/>
              </a:solidFill>
              <a:ln>
                <a:noFill/>
              </a:ln>
              <a:effectLst/>
            </c:spPr>
            <c:extLst>
              <c:ext xmlns:c16="http://schemas.microsoft.com/office/drawing/2014/chart" uri="{C3380CC4-5D6E-409C-BE32-E72D297353CC}">
                <c16:uniqueId val="{00000067-C368-4BE5-9182-B0D8D5D6E4C5}"/>
              </c:ext>
            </c:extLst>
          </c:dPt>
          <c:dPt>
            <c:idx val="10"/>
            <c:invertIfNegative val="0"/>
            <c:bubble3D val="0"/>
            <c:spPr>
              <a:solidFill>
                <a:srgbClr val="0070C0"/>
              </a:solidFill>
              <a:ln>
                <a:noFill/>
              </a:ln>
              <a:effectLst/>
            </c:spPr>
            <c:extLst>
              <c:ext xmlns:c16="http://schemas.microsoft.com/office/drawing/2014/chart" uri="{C3380CC4-5D6E-409C-BE32-E72D297353CC}">
                <c16:uniqueId val="{00000069-C368-4BE5-9182-B0D8D5D6E4C5}"/>
              </c:ext>
            </c:extLst>
          </c:dPt>
          <c:dPt>
            <c:idx val="13"/>
            <c:invertIfNegative val="0"/>
            <c:bubble3D val="0"/>
            <c:spPr>
              <a:solidFill>
                <a:srgbClr val="C00000"/>
              </a:solidFill>
              <a:ln>
                <a:noFill/>
              </a:ln>
              <a:effectLst/>
            </c:spPr>
            <c:extLst>
              <c:ext xmlns:c16="http://schemas.microsoft.com/office/drawing/2014/chart" uri="{C3380CC4-5D6E-409C-BE32-E72D297353CC}">
                <c16:uniqueId val="{0000006B-C368-4BE5-9182-B0D8D5D6E4C5}"/>
              </c:ext>
            </c:extLst>
          </c:dPt>
          <c:dPt>
            <c:idx val="14"/>
            <c:invertIfNegative val="0"/>
            <c:bubble3D val="0"/>
            <c:spPr>
              <a:solidFill>
                <a:srgbClr val="0070C0"/>
              </a:solidFill>
              <a:ln>
                <a:noFill/>
              </a:ln>
              <a:effectLst/>
            </c:spPr>
            <c:extLst>
              <c:ext xmlns:c16="http://schemas.microsoft.com/office/drawing/2014/chart" uri="{C3380CC4-5D6E-409C-BE32-E72D297353CC}">
                <c16:uniqueId val="{0000006D-C368-4BE5-9182-B0D8D5D6E4C5}"/>
              </c:ext>
            </c:extLst>
          </c:dPt>
          <c:dPt>
            <c:idx val="17"/>
            <c:invertIfNegative val="0"/>
            <c:bubble3D val="0"/>
            <c:spPr>
              <a:solidFill>
                <a:srgbClr val="C00000"/>
              </a:solidFill>
              <a:ln>
                <a:noFill/>
              </a:ln>
              <a:effectLst/>
            </c:spPr>
            <c:extLst>
              <c:ext xmlns:c16="http://schemas.microsoft.com/office/drawing/2014/chart" uri="{C3380CC4-5D6E-409C-BE32-E72D297353CC}">
                <c16:uniqueId val="{0000006F-C368-4BE5-9182-B0D8D5D6E4C5}"/>
              </c:ext>
            </c:extLst>
          </c:dPt>
          <c:dPt>
            <c:idx val="18"/>
            <c:invertIfNegative val="0"/>
            <c:bubble3D val="0"/>
            <c:spPr>
              <a:solidFill>
                <a:srgbClr val="0070C0"/>
              </a:solidFill>
              <a:ln>
                <a:noFill/>
              </a:ln>
              <a:effectLst/>
            </c:spPr>
            <c:extLst>
              <c:ext xmlns:c16="http://schemas.microsoft.com/office/drawing/2014/chart" uri="{C3380CC4-5D6E-409C-BE32-E72D297353CC}">
                <c16:uniqueId val="{00000071-C368-4BE5-9182-B0D8D5D6E4C5}"/>
              </c:ext>
            </c:extLst>
          </c:dPt>
          <c:dPt>
            <c:idx val="21"/>
            <c:invertIfNegative val="0"/>
            <c:bubble3D val="0"/>
            <c:spPr>
              <a:solidFill>
                <a:srgbClr val="C00000"/>
              </a:solidFill>
              <a:ln>
                <a:noFill/>
              </a:ln>
              <a:effectLst/>
            </c:spPr>
            <c:extLst>
              <c:ext xmlns:c16="http://schemas.microsoft.com/office/drawing/2014/chart" uri="{C3380CC4-5D6E-409C-BE32-E72D297353CC}">
                <c16:uniqueId val="{00000073-C368-4BE5-9182-B0D8D5D6E4C5}"/>
              </c:ext>
            </c:extLst>
          </c:dPt>
          <c:dPt>
            <c:idx val="22"/>
            <c:invertIfNegative val="0"/>
            <c:bubble3D val="0"/>
            <c:spPr>
              <a:solidFill>
                <a:srgbClr val="0070C0"/>
              </a:solidFill>
              <a:ln>
                <a:noFill/>
              </a:ln>
              <a:effectLst/>
            </c:spPr>
            <c:extLst>
              <c:ext xmlns:c16="http://schemas.microsoft.com/office/drawing/2014/chart" uri="{C3380CC4-5D6E-409C-BE32-E72D297353CC}">
                <c16:uniqueId val="{00000075-C368-4BE5-9182-B0D8D5D6E4C5}"/>
              </c:ext>
            </c:extLst>
          </c:dPt>
          <c:dPt>
            <c:idx val="25"/>
            <c:invertIfNegative val="0"/>
            <c:bubble3D val="0"/>
            <c:spPr>
              <a:solidFill>
                <a:srgbClr val="C00000"/>
              </a:solidFill>
              <a:ln>
                <a:noFill/>
              </a:ln>
              <a:effectLst/>
            </c:spPr>
            <c:extLst>
              <c:ext xmlns:c16="http://schemas.microsoft.com/office/drawing/2014/chart" uri="{C3380CC4-5D6E-409C-BE32-E72D297353CC}">
                <c16:uniqueId val="{00000077-C368-4BE5-9182-B0D8D5D6E4C5}"/>
              </c:ext>
            </c:extLst>
          </c:dPt>
          <c:dPt>
            <c:idx val="26"/>
            <c:invertIfNegative val="0"/>
            <c:bubble3D val="0"/>
            <c:spPr>
              <a:solidFill>
                <a:srgbClr val="0070C0"/>
              </a:solidFill>
              <a:ln>
                <a:noFill/>
              </a:ln>
              <a:effectLst/>
            </c:spPr>
            <c:extLst>
              <c:ext xmlns:c16="http://schemas.microsoft.com/office/drawing/2014/chart" uri="{C3380CC4-5D6E-409C-BE32-E72D297353CC}">
                <c16:uniqueId val="{00000079-C368-4BE5-9182-B0D8D5D6E4C5}"/>
              </c:ext>
            </c:extLst>
          </c:dPt>
          <c:dPt>
            <c:idx val="29"/>
            <c:invertIfNegative val="0"/>
            <c:bubble3D val="0"/>
            <c:spPr>
              <a:solidFill>
                <a:srgbClr val="C00000"/>
              </a:solidFill>
              <a:ln>
                <a:noFill/>
              </a:ln>
              <a:effectLst/>
            </c:spPr>
            <c:extLst>
              <c:ext xmlns:c16="http://schemas.microsoft.com/office/drawing/2014/chart" uri="{C3380CC4-5D6E-409C-BE32-E72D297353CC}">
                <c16:uniqueId val="{0000007B-C368-4BE5-9182-B0D8D5D6E4C5}"/>
              </c:ext>
            </c:extLst>
          </c:dPt>
          <c:dPt>
            <c:idx val="30"/>
            <c:invertIfNegative val="0"/>
            <c:bubble3D val="0"/>
            <c:spPr>
              <a:solidFill>
                <a:srgbClr val="0070C0"/>
              </a:solidFill>
              <a:ln>
                <a:noFill/>
              </a:ln>
              <a:effectLst/>
            </c:spPr>
            <c:extLst>
              <c:ext xmlns:c16="http://schemas.microsoft.com/office/drawing/2014/chart" uri="{C3380CC4-5D6E-409C-BE32-E72D297353CC}">
                <c16:uniqueId val="{0000007D-C368-4BE5-9182-B0D8D5D6E4C5}"/>
              </c:ext>
            </c:extLst>
          </c:dPt>
          <c:dPt>
            <c:idx val="33"/>
            <c:invertIfNegative val="0"/>
            <c:bubble3D val="0"/>
            <c:spPr>
              <a:solidFill>
                <a:srgbClr val="C00000"/>
              </a:solidFill>
              <a:ln>
                <a:noFill/>
              </a:ln>
              <a:effectLst/>
            </c:spPr>
            <c:extLst>
              <c:ext xmlns:c16="http://schemas.microsoft.com/office/drawing/2014/chart" uri="{C3380CC4-5D6E-409C-BE32-E72D297353CC}">
                <c16:uniqueId val="{0000007F-C368-4BE5-9182-B0D8D5D6E4C5}"/>
              </c:ext>
            </c:extLst>
          </c:dPt>
          <c:dPt>
            <c:idx val="34"/>
            <c:invertIfNegative val="0"/>
            <c:bubble3D val="0"/>
            <c:spPr>
              <a:solidFill>
                <a:srgbClr val="0070C0"/>
              </a:solidFill>
              <a:ln>
                <a:noFill/>
              </a:ln>
              <a:effectLst/>
            </c:spPr>
            <c:extLst>
              <c:ext xmlns:c16="http://schemas.microsoft.com/office/drawing/2014/chart" uri="{C3380CC4-5D6E-409C-BE32-E72D297353CC}">
                <c16:uniqueId val="{00000081-C368-4BE5-9182-B0D8D5D6E4C5}"/>
              </c:ext>
            </c:extLst>
          </c:dPt>
          <c:dPt>
            <c:idx val="37"/>
            <c:invertIfNegative val="0"/>
            <c:bubble3D val="0"/>
            <c:spPr>
              <a:solidFill>
                <a:srgbClr val="C00000"/>
              </a:solidFill>
              <a:ln>
                <a:noFill/>
              </a:ln>
              <a:effectLst/>
            </c:spPr>
            <c:extLst>
              <c:ext xmlns:c16="http://schemas.microsoft.com/office/drawing/2014/chart" uri="{C3380CC4-5D6E-409C-BE32-E72D297353CC}">
                <c16:uniqueId val="{00000083-C368-4BE5-9182-B0D8D5D6E4C5}"/>
              </c:ext>
            </c:extLst>
          </c:dPt>
          <c:dPt>
            <c:idx val="38"/>
            <c:invertIfNegative val="0"/>
            <c:bubble3D val="0"/>
            <c:spPr>
              <a:solidFill>
                <a:srgbClr val="0070C0"/>
              </a:solidFill>
              <a:ln>
                <a:noFill/>
              </a:ln>
              <a:effectLst/>
            </c:spPr>
            <c:extLst>
              <c:ext xmlns:c16="http://schemas.microsoft.com/office/drawing/2014/chart" uri="{C3380CC4-5D6E-409C-BE32-E72D297353CC}">
                <c16:uniqueId val="{00000085-C368-4BE5-9182-B0D8D5D6E4C5}"/>
              </c:ext>
            </c:extLst>
          </c:dPt>
          <c:dPt>
            <c:idx val="41"/>
            <c:invertIfNegative val="0"/>
            <c:bubble3D val="0"/>
            <c:spPr>
              <a:solidFill>
                <a:srgbClr val="C00000"/>
              </a:solidFill>
              <a:ln>
                <a:noFill/>
              </a:ln>
              <a:effectLst/>
            </c:spPr>
            <c:extLst>
              <c:ext xmlns:c16="http://schemas.microsoft.com/office/drawing/2014/chart" uri="{C3380CC4-5D6E-409C-BE32-E72D297353CC}">
                <c16:uniqueId val="{00000087-C368-4BE5-9182-B0D8D5D6E4C5}"/>
              </c:ext>
            </c:extLst>
          </c:dPt>
          <c:dPt>
            <c:idx val="42"/>
            <c:invertIfNegative val="0"/>
            <c:bubble3D val="0"/>
            <c:spPr>
              <a:solidFill>
                <a:srgbClr val="0070C0"/>
              </a:solidFill>
              <a:ln>
                <a:noFill/>
              </a:ln>
              <a:effectLst/>
            </c:spPr>
            <c:extLst>
              <c:ext xmlns:c16="http://schemas.microsoft.com/office/drawing/2014/chart" uri="{C3380CC4-5D6E-409C-BE32-E72D297353CC}">
                <c16:uniqueId val="{00000089-C368-4BE5-9182-B0D8D5D6E4C5}"/>
              </c:ext>
            </c:extLst>
          </c:dPt>
          <c:dPt>
            <c:idx val="45"/>
            <c:invertIfNegative val="0"/>
            <c:bubble3D val="0"/>
            <c:spPr>
              <a:solidFill>
                <a:srgbClr val="C00000"/>
              </a:solidFill>
              <a:ln>
                <a:noFill/>
              </a:ln>
              <a:effectLst/>
            </c:spPr>
            <c:extLst>
              <c:ext xmlns:c16="http://schemas.microsoft.com/office/drawing/2014/chart" uri="{C3380CC4-5D6E-409C-BE32-E72D297353CC}">
                <c16:uniqueId val="{0000008B-C368-4BE5-9182-B0D8D5D6E4C5}"/>
              </c:ext>
            </c:extLst>
          </c:dPt>
          <c:dPt>
            <c:idx val="46"/>
            <c:invertIfNegative val="0"/>
            <c:bubble3D val="0"/>
            <c:spPr>
              <a:solidFill>
                <a:srgbClr val="0070C0"/>
              </a:solidFill>
              <a:ln>
                <a:noFill/>
              </a:ln>
              <a:effectLst/>
            </c:spPr>
            <c:extLst>
              <c:ext xmlns:c16="http://schemas.microsoft.com/office/drawing/2014/chart" uri="{C3380CC4-5D6E-409C-BE32-E72D297353CC}">
                <c16:uniqueId val="{0000008D-C368-4BE5-9182-B0D8D5D6E4C5}"/>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Calculations!$O$55:$O$102</c:f>
              <c:numCache>
                <c:formatCode>_(* #,##0.0_);_(* \(#,##0.0\);_(* "-"??_);_(@_)</c:formatCode>
                <c:ptCount val="48"/>
                <c:pt idx="0">
                  <c:v>0</c:v>
                </c:pt>
                <c:pt idx="1">
                  <c:v>0</c:v>
                </c:pt>
                <c:pt idx="2">
                  <c:v>0</c:v>
                </c:pt>
                <c:pt idx="4">
                  <c:v>0</c:v>
                </c:pt>
                <c:pt idx="5">
                  <c:v>0</c:v>
                </c:pt>
                <c:pt idx="6">
                  <c:v>0</c:v>
                </c:pt>
                <c:pt idx="8">
                  <c:v>0</c:v>
                </c:pt>
                <c:pt idx="9">
                  <c:v>0</c:v>
                </c:pt>
                <c:pt idx="10">
                  <c:v>0</c:v>
                </c:pt>
                <c:pt idx="12">
                  <c:v>0</c:v>
                </c:pt>
                <c:pt idx="13">
                  <c:v>0</c:v>
                </c:pt>
                <c:pt idx="14">
                  <c:v>0</c:v>
                </c:pt>
                <c:pt idx="16">
                  <c:v>1400</c:v>
                </c:pt>
                <c:pt idx="17">
                  <c:v>1250</c:v>
                </c:pt>
                <c:pt idx="18">
                  <c:v>100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8E-C368-4BE5-9182-B0D8D5D6E4C5}"/>
            </c:ext>
          </c:extLst>
        </c:ser>
        <c:ser>
          <c:idx val="3"/>
          <c:order val="3"/>
          <c:spPr>
            <a:solidFill>
              <a:schemeClr val="bg1">
                <a:lumMod val="95000"/>
              </a:schemeClr>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Calculations!$P$55:$P$102</c:f>
              <c:numCache>
                <c:formatCode>_(* #,##0.0_);_(* \(#,##0.0\);_(* "-"??_);_(@_)</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8F-C368-4BE5-9182-B0D8D5D6E4C5}"/>
            </c:ext>
          </c:extLst>
        </c:ser>
        <c:ser>
          <c:idx val="4"/>
          <c:order val="4"/>
          <c:spPr>
            <a:solidFill>
              <a:srgbClr val="E8E8E8"/>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Calculations!$Q$55:$Q$102</c:f>
              <c:numCache>
                <c:formatCode>_(* #,##0.0_);_(* \(#,##0.0\);_(* "-"??_);_(@_)</c:formatCode>
                <c:ptCount val="48"/>
                <c:pt idx="0">
                  <c:v>3800</c:v>
                </c:pt>
                <c:pt idx="1">
                  <c:v>2800</c:v>
                </c:pt>
                <c:pt idx="2">
                  <c:v>1000</c:v>
                </c:pt>
                <c:pt idx="3">
                  <c:v>0</c:v>
                </c:pt>
                <c:pt idx="4">
                  <c:v>4600</c:v>
                </c:pt>
                <c:pt idx="5">
                  <c:v>2800</c:v>
                </c:pt>
                <c:pt idx="6">
                  <c:v>1800</c:v>
                </c:pt>
                <c:pt idx="7">
                  <c:v>0</c:v>
                </c:pt>
                <c:pt idx="8">
                  <c:v>2700</c:v>
                </c:pt>
                <c:pt idx="9">
                  <c:v>2700</c:v>
                </c:pt>
                <c:pt idx="10">
                  <c:v>0</c:v>
                </c:pt>
                <c:pt idx="11">
                  <c:v>0</c:v>
                </c:pt>
                <c:pt idx="12">
                  <c:v>2700</c:v>
                </c:pt>
                <c:pt idx="13">
                  <c:v>2700</c:v>
                </c:pt>
                <c:pt idx="14">
                  <c:v>0</c:v>
                </c:pt>
                <c:pt idx="15">
                  <c:v>0</c:v>
                </c:pt>
                <c:pt idx="16">
                  <c:v>0</c:v>
                </c:pt>
                <c:pt idx="17">
                  <c:v>0</c:v>
                </c:pt>
                <c:pt idx="18">
                  <c:v>0</c:v>
                </c:pt>
                <c:pt idx="19">
                  <c:v>0</c:v>
                </c:pt>
                <c:pt idx="20">
                  <c:v>2700</c:v>
                </c:pt>
                <c:pt idx="21">
                  <c:v>2700</c:v>
                </c:pt>
                <c:pt idx="22">
                  <c:v>0</c:v>
                </c:pt>
                <c:pt idx="23">
                  <c:v>0</c:v>
                </c:pt>
                <c:pt idx="24">
                  <c:v>2700</c:v>
                </c:pt>
                <c:pt idx="25">
                  <c:v>2700</c:v>
                </c:pt>
                <c:pt idx="26">
                  <c:v>0</c:v>
                </c:pt>
                <c:pt idx="27">
                  <c:v>0</c:v>
                </c:pt>
                <c:pt idx="28">
                  <c:v>2700</c:v>
                </c:pt>
                <c:pt idx="29">
                  <c:v>2700</c:v>
                </c:pt>
                <c:pt idx="30">
                  <c:v>0</c:v>
                </c:pt>
                <c:pt idx="31">
                  <c:v>0</c:v>
                </c:pt>
                <c:pt idx="32">
                  <c:v>2700</c:v>
                </c:pt>
                <c:pt idx="33">
                  <c:v>2700</c:v>
                </c:pt>
                <c:pt idx="34">
                  <c:v>0</c:v>
                </c:pt>
                <c:pt idx="35">
                  <c:v>0</c:v>
                </c:pt>
                <c:pt idx="36">
                  <c:v>2700</c:v>
                </c:pt>
                <c:pt idx="37">
                  <c:v>2700</c:v>
                </c:pt>
                <c:pt idx="38">
                  <c:v>0</c:v>
                </c:pt>
                <c:pt idx="39">
                  <c:v>0</c:v>
                </c:pt>
                <c:pt idx="40">
                  <c:v>2700</c:v>
                </c:pt>
                <c:pt idx="41">
                  <c:v>1500</c:v>
                </c:pt>
                <c:pt idx="42">
                  <c:v>1200</c:v>
                </c:pt>
                <c:pt idx="43">
                  <c:v>0</c:v>
                </c:pt>
                <c:pt idx="44">
                  <c:v>2700</c:v>
                </c:pt>
                <c:pt idx="45">
                  <c:v>1200</c:v>
                </c:pt>
                <c:pt idx="46">
                  <c:v>1500</c:v>
                </c:pt>
                <c:pt idx="47">
                  <c:v>0</c:v>
                </c:pt>
              </c:numCache>
            </c:numRef>
          </c:val>
          <c:extLst>
            <c:ext xmlns:c16="http://schemas.microsoft.com/office/drawing/2014/chart" uri="{C3380CC4-5D6E-409C-BE32-E72D297353CC}">
              <c16:uniqueId val="{00000090-C368-4BE5-9182-B0D8D5D6E4C5}"/>
            </c:ext>
          </c:extLst>
        </c:ser>
        <c:ser>
          <c:idx val="5"/>
          <c:order val="5"/>
          <c:spPr>
            <a:solidFill>
              <a:schemeClr val="bg1">
                <a:lumMod val="75000"/>
              </a:schemeClr>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Calculations!$R$55:$R$102</c:f>
              <c:numCache>
                <c:formatCode>_(* #,##0.0_);_(* \(#,##0.0\);_(* "-"??_);_(@_)</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91-C368-4BE5-9182-B0D8D5D6E4C5}"/>
            </c:ext>
          </c:extLst>
        </c:ser>
        <c:dLbls>
          <c:showLegendKey val="0"/>
          <c:showVal val="0"/>
          <c:showCatName val="0"/>
          <c:showSerName val="0"/>
          <c:showPercent val="0"/>
          <c:showBubbleSize val="0"/>
        </c:dLbls>
        <c:gapWidth val="15"/>
        <c:overlap val="100"/>
        <c:axId val="937086864"/>
        <c:axId val="1285599936"/>
      </c:barChart>
      <c:catAx>
        <c:axId val="937086864"/>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lumMod val="65000"/>
                  </a:schemeClr>
                </a:solidFill>
                <a:latin typeface="+mn-lt"/>
                <a:ea typeface="+mn-ea"/>
                <a:cs typeface="+mn-cs"/>
              </a:defRPr>
            </a:pPr>
            <a:endParaRPr lang="en-US"/>
          </a:p>
        </c:txPr>
        <c:crossAx val="1285599936"/>
        <c:crosses val="autoZero"/>
        <c:auto val="0"/>
        <c:lblAlgn val="ctr"/>
        <c:lblOffset val="100"/>
        <c:noMultiLvlLbl val="0"/>
      </c:catAx>
      <c:valAx>
        <c:axId val="128559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50000"/>
                  </a:schemeClr>
                </a:solidFill>
                <a:latin typeface="+mn-lt"/>
                <a:ea typeface="+mn-ea"/>
                <a:cs typeface="+mn-cs"/>
              </a:defRPr>
            </a:pPr>
            <a:endParaRPr lang="en-US"/>
          </a:p>
        </c:txPr>
        <c:crossAx val="937086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val>
            <c:numRef>
              <c:f>Calculations!$E$24</c:f>
              <c:numCache>
                <c:formatCode>0%</c:formatCode>
                <c:ptCount val="1"/>
                <c:pt idx="0">
                  <c:v>0.58064516129032262</c:v>
                </c:pt>
              </c:numCache>
            </c:numRef>
          </c:val>
          <c:extLst>
            <c:ext xmlns:c16="http://schemas.microsoft.com/office/drawing/2014/chart" uri="{C3380CC4-5D6E-409C-BE32-E72D297353CC}">
              <c16:uniqueId val="{00000000-7BE6-4E51-BE9A-B43C5CAB90F9}"/>
            </c:ext>
          </c:extLst>
        </c:ser>
        <c:dLbls>
          <c:showLegendKey val="0"/>
          <c:showVal val="0"/>
          <c:showCatName val="0"/>
          <c:showSerName val="0"/>
          <c:showPercent val="0"/>
          <c:showBubbleSize val="0"/>
        </c:dLbls>
        <c:gapWidth val="0"/>
        <c:axId val="87613879"/>
        <c:axId val="87619999"/>
      </c:barChart>
      <c:catAx>
        <c:axId val="87613879"/>
        <c:scaling>
          <c:orientation val="minMax"/>
        </c:scaling>
        <c:delete val="1"/>
        <c:axPos val="l"/>
        <c:majorTickMark val="none"/>
        <c:minorTickMark val="none"/>
        <c:tickLblPos val="nextTo"/>
        <c:crossAx val="87619999"/>
        <c:crosses val="autoZero"/>
        <c:auto val="1"/>
        <c:lblAlgn val="ctr"/>
        <c:lblOffset val="100"/>
        <c:noMultiLvlLbl val="0"/>
      </c:catAx>
      <c:valAx>
        <c:axId val="87619999"/>
        <c:scaling>
          <c:orientation val="minMax"/>
          <c:max val="1"/>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7613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Calculations!$E$49" lockText="1" noThreeD="1"/>
</file>

<file path=xl/ctrlProps/ctrlProp2.xml><?xml version="1.0" encoding="utf-8"?>
<formControlPr xmlns="http://schemas.microsoft.com/office/spreadsheetml/2009/9/main" objectType="CheckBox" checked="Checked" fmlaLink="Calculations!$E$50" lockText="1" noThreeD="1"/>
</file>

<file path=xl/ctrlProps/ctrlProp3.xml><?xml version="1.0" encoding="utf-8"?>
<formControlPr xmlns="http://schemas.microsoft.com/office/spreadsheetml/2009/9/main" objectType="CheckBox" checked="Checked" fmlaLink="Calculations!$E$51" lockText="1" noThreeD="1"/>
</file>

<file path=xl/ctrlProps/ctrlProp4.xml><?xml version="1.0" encoding="utf-8"?>
<formControlPr xmlns="http://schemas.microsoft.com/office/spreadsheetml/2009/9/main" objectType="CheckBox" checked="Checked" fmlaLink="Calculations!$E$52" lockText="1" noThreeD="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2</xdr:col>
      <xdr:colOff>1018</xdr:colOff>
      <xdr:row>3</xdr:row>
      <xdr:rowOff>117157</xdr:rowOff>
    </xdr:from>
    <xdr:to>
      <xdr:col>3</xdr:col>
      <xdr:colOff>225425</xdr:colOff>
      <xdr:row>8</xdr:row>
      <xdr:rowOff>2857</xdr:rowOff>
    </xdr:to>
    <xdr:grpSp>
      <xdr:nvGrpSpPr>
        <xdr:cNvPr id="21" name="Group 20">
          <a:extLst>
            <a:ext uri="{FF2B5EF4-FFF2-40B4-BE49-F238E27FC236}">
              <a16:creationId xmlns:a16="http://schemas.microsoft.com/office/drawing/2014/main" id="{3C4CD99B-7313-2BA4-3967-60706EB49FEA}"/>
            </a:ext>
          </a:extLst>
        </xdr:cNvPr>
        <xdr:cNvGrpSpPr/>
      </xdr:nvGrpSpPr>
      <xdr:grpSpPr>
        <a:xfrm>
          <a:off x="426320" y="648785"/>
          <a:ext cx="1340826" cy="771746"/>
          <a:chOff x="447674" y="666749"/>
          <a:chExt cx="1397001" cy="790575"/>
        </a:xfrm>
      </xdr:grpSpPr>
      <xdr:sp macro="" textlink="">
        <xdr:nvSpPr>
          <xdr:cNvPr id="3" name="Rectangle: Rounded Corners 2">
            <a:extLst>
              <a:ext uri="{FF2B5EF4-FFF2-40B4-BE49-F238E27FC236}">
                <a16:creationId xmlns:a16="http://schemas.microsoft.com/office/drawing/2014/main" id="{E7BA2B75-4EC4-5E3D-D07B-03A8DD4D5A9D}"/>
              </a:ext>
            </a:extLst>
          </xdr:cNvPr>
          <xdr:cNvSpPr/>
        </xdr:nvSpPr>
        <xdr:spPr>
          <a:xfrm>
            <a:off x="473075" y="666749"/>
            <a:ext cx="1371600" cy="790575"/>
          </a:xfrm>
          <a:prstGeom prst="roundRect">
            <a:avLst>
              <a:gd name="adj" fmla="val 12192"/>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sp macro="" textlink="">
        <xdr:nvSpPr>
          <xdr:cNvPr id="4" name="TextBox 3">
            <a:extLst>
              <a:ext uri="{FF2B5EF4-FFF2-40B4-BE49-F238E27FC236}">
                <a16:creationId xmlns:a16="http://schemas.microsoft.com/office/drawing/2014/main" id="{92EC94B7-0906-B323-690D-F781B1D367C6}"/>
              </a:ext>
            </a:extLst>
          </xdr:cNvPr>
          <xdr:cNvSpPr txBox="1"/>
        </xdr:nvSpPr>
        <xdr:spPr>
          <a:xfrm>
            <a:off x="447674" y="742950"/>
            <a:ext cx="125429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Date of Today</a:t>
            </a:r>
          </a:p>
          <a:p>
            <a:endParaRPr lang="en-GB" sz="1100"/>
          </a:p>
        </xdr:txBody>
      </xdr:sp>
      <xdr:sp macro="" textlink="Calculations!E8">
        <xdr:nvSpPr>
          <xdr:cNvPr id="5" name="TextBox 4">
            <a:extLst>
              <a:ext uri="{FF2B5EF4-FFF2-40B4-BE49-F238E27FC236}">
                <a16:creationId xmlns:a16="http://schemas.microsoft.com/office/drawing/2014/main" id="{55CEA62E-0041-47CF-8FB4-83C95FB20437}"/>
              </a:ext>
            </a:extLst>
          </xdr:cNvPr>
          <xdr:cNvSpPr txBox="1"/>
        </xdr:nvSpPr>
        <xdr:spPr>
          <a:xfrm>
            <a:off x="450849" y="1016000"/>
            <a:ext cx="1203326"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E159A6-7725-4AB1-9731-2773C3BDF71F}" type="TxLink">
              <a:rPr lang="en-US" sz="1200" b="1" i="0" u="none" strike="noStrike">
                <a:solidFill>
                  <a:srgbClr val="000000"/>
                </a:solidFill>
                <a:latin typeface="Lucida Sans"/>
              </a:rPr>
              <a:pPr/>
              <a:t>18-May-25</a:t>
            </a:fld>
            <a:endParaRPr lang="en-GB" sz="1200" b="1"/>
          </a:p>
        </xdr:txBody>
      </xdr:sp>
    </xdr:grpSp>
    <xdr:clientData/>
  </xdr:twoCellAnchor>
  <xdr:twoCellAnchor editAs="absolute">
    <xdr:from>
      <xdr:col>3</xdr:col>
      <xdr:colOff>461009</xdr:colOff>
      <xdr:row>3</xdr:row>
      <xdr:rowOff>148907</xdr:rowOff>
    </xdr:from>
    <xdr:to>
      <xdr:col>4</xdr:col>
      <xdr:colOff>1405890</xdr:colOff>
      <xdr:row>8</xdr:row>
      <xdr:rowOff>34607</xdr:rowOff>
    </xdr:to>
    <xdr:grpSp>
      <xdr:nvGrpSpPr>
        <xdr:cNvPr id="22" name="Group 21">
          <a:extLst>
            <a:ext uri="{FF2B5EF4-FFF2-40B4-BE49-F238E27FC236}">
              <a16:creationId xmlns:a16="http://schemas.microsoft.com/office/drawing/2014/main" id="{7A4ECCE1-57AE-F8A0-18C7-759683C53242}"/>
            </a:ext>
          </a:extLst>
        </xdr:cNvPr>
        <xdr:cNvGrpSpPr/>
      </xdr:nvGrpSpPr>
      <xdr:grpSpPr>
        <a:xfrm>
          <a:off x="2002730" y="680535"/>
          <a:ext cx="2043579" cy="771746"/>
          <a:chOff x="2114549" y="657225"/>
          <a:chExt cx="1924051" cy="790575"/>
        </a:xfrm>
      </xdr:grpSpPr>
      <xdr:sp macro="" textlink="">
        <xdr:nvSpPr>
          <xdr:cNvPr id="9" name="Rectangle: Rounded Corners 8">
            <a:extLst>
              <a:ext uri="{FF2B5EF4-FFF2-40B4-BE49-F238E27FC236}">
                <a16:creationId xmlns:a16="http://schemas.microsoft.com/office/drawing/2014/main" id="{8A2B9660-D465-424D-A9F6-1C26CBE745DF}"/>
              </a:ext>
            </a:extLst>
          </xdr:cNvPr>
          <xdr:cNvSpPr/>
        </xdr:nvSpPr>
        <xdr:spPr>
          <a:xfrm>
            <a:off x="2146299" y="657225"/>
            <a:ext cx="1882775" cy="790575"/>
          </a:xfrm>
          <a:prstGeom prst="roundRect">
            <a:avLst>
              <a:gd name="adj" fmla="val 12192"/>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sp macro="" textlink="">
        <xdr:nvSpPr>
          <xdr:cNvPr id="10" name="TextBox 9">
            <a:extLst>
              <a:ext uri="{FF2B5EF4-FFF2-40B4-BE49-F238E27FC236}">
                <a16:creationId xmlns:a16="http://schemas.microsoft.com/office/drawing/2014/main" id="{2CACBE88-4A49-48EC-A8C4-2712C249FF29}"/>
              </a:ext>
            </a:extLst>
          </xdr:cNvPr>
          <xdr:cNvSpPr txBox="1"/>
        </xdr:nvSpPr>
        <xdr:spPr>
          <a:xfrm>
            <a:off x="2114549" y="733426"/>
            <a:ext cx="1676401" cy="33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Date of</a:t>
            </a:r>
            <a:r>
              <a:rPr lang="en-GB" sz="1100" b="1" baseline="0"/>
              <a:t> Last Record</a:t>
            </a:r>
          </a:p>
          <a:p>
            <a:endParaRPr lang="en-GB" sz="1100"/>
          </a:p>
        </xdr:txBody>
      </xdr:sp>
      <xdr:sp macro="" textlink="Calculations!E9">
        <xdr:nvSpPr>
          <xdr:cNvPr id="11" name="TextBox 10">
            <a:extLst>
              <a:ext uri="{FF2B5EF4-FFF2-40B4-BE49-F238E27FC236}">
                <a16:creationId xmlns:a16="http://schemas.microsoft.com/office/drawing/2014/main" id="{58A7DD30-D583-4EA1-A6DC-620E67CFDEBF}"/>
              </a:ext>
            </a:extLst>
          </xdr:cNvPr>
          <xdr:cNvSpPr txBox="1"/>
        </xdr:nvSpPr>
        <xdr:spPr>
          <a:xfrm>
            <a:off x="2117724" y="996951"/>
            <a:ext cx="930276"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2D2C6E-E158-44BF-93EB-2C0C3F992A9D}" type="TxLink">
              <a:rPr lang="en-US" sz="1200" b="1" i="0" u="none" strike="noStrike">
                <a:solidFill>
                  <a:srgbClr val="000000"/>
                </a:solidFill>
                <a:latin typeface="Lucida Sans"/>
              </a:rPr>
              <a:pPr/>
              <a:t>16-May-25</a:t>
            </a:fld>
            <a:endParaRPr lang="en-GB" sz="1200" b="1"/>
          </a:p>
        </xdr:txBody>
      </xdr:sp>
      <xdr:sp macro="" textlink="Calculations!E10">
        <xdr:nvSpPr>
          <xdr:cNvPr id="12" name="TextBox 11">
            <a:extLst>
              <a:ext uri="{FF2B5EF4-FFF2-40B4-BE49-F238E27FC236}">
                <a16:creationId xmlns:a16="http://schemas.microsoft.com/office/drawing/2014/main" id="{CFBFDCD5-AF1F-428F-ABD4-CC27708BFD7F}"/>
              </a:ext>
            </a:extLst>
          </xdr:cNvPr>
          <xdr:cNvSpPr txBox="1"/>
        </xdr:nvSpPr>
        <xdr:spPr>
          <a:xfrm>
            <a:off x="2974974" y="996951"/>
            <a:ext cx="1063626"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ED8265-7A0F-42C6-8665-C24D4F0EAC71}" type="TxLink">
              <a:rPr lang="en-US" sz="1100" b="0" i="0" u="none" strike="noStrike">
                <a:solidFill>
                  <a:srgbClr val="000000"/>
                </a:solidFill>
                <a:latin typeface="Lucida Sans"/>
              </a:rPr>
              <a:pPr/>
              <a:t>(2days ago)</a:t>
            </a:fld>
            <a:endParaRPr lang="en-GB" sz="1200" b="1"/>
          </a:p>
        </xdr:txBody>
      </xdr:sp>
    </xdr:grpSp>
    <xdr:clientData/>
  </xdr:twoCellAnchor>
  <xdr:twoCellAnchor editAs="absolute">
    <xdr:from>
      <xdr:col>4</xdr:col>
      <xdr:colOff>1520190</xdr:colOff>
      <xdr:row>3</xdr:row>
      <xdr:rowOff>117474</xdr:rowOff>
    </xdr:from>
    <xdr:to>
      <xdr:col>6</xdr:col>
      <xdr:colOff>340168</xdr:colOff>
      <xdr:row>8</xdr:row>
      <xdr:rowOff>3174</xdr:rowOff>
    </xdr:to>
    <xdr:grpSp>
      <xdr:nvGrpSpPr>
        <xdr:cNvPr id="23" name="Group 22">
          <a:extLst>
            <a:ext uri="{FF2B5EF4-FFF2-40B4-BE49-F238E27FC236}">
              <a16:creationId xmlns:a16="http://schemas.microsoft.com/office/drawing/2014/main" id="{85F8DF3B-72AF-5797-9B01-5FCA29B8E577}"/>
            </a:ext>
          </a:extLst>
        </xdr:cNvPr>
        <xdr:cNvGrpSpPr/>
      </xdr:nvGrpSpPr>
      <xdr:grpSpPr>
        <a:xfrm>
          <a:off x="4160609" y="649102"/>
          <a:ext cx="1850257" cy="771746"/>
          <a:chOff x="4200524" y="654050"/>
          <a:chExt cx="1943545" cy="793750"/>
        </a:xfrm>
      </xdr:grpSpPr>
      <xdr:sp macro="" textlink="">
        <xdr:nvSpPr>
          <xdr:cNvPr id="13" name="Rectangle: Rounded Corners 12">
            <a:extLst>
              <a:ext uri="{FF2B5EF4-FFF2-40B4-BE49-F238E27FC236}">
                <a16:creationId xmlns:a16="http://schemas.microsoft.com/office/drawing/2014/main" id="{1E6C7EB5-130D-46F4-83B5-A98D95B4EF46}"/>
              </a:ext>
            </a:extLst>
          </xdr:cNvPr>
          <xdr:cNvSpPr/>
        </xdr:nvSpPr>
        <xdr:spPr>
          <a:xfrm>
            <a:off x="4229100" y="654050"/>
            <a:ext cx="1882775" cy="793750"/>
          </a:xfrm>
          <a:prstGeom prst="roundRect">
            <a:avLst>
              <a:gd name="adj" fmla="val 12192"/>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sp macro="" textlink="">
        <xdr:nvSpPr>
          <xdr:cNvPr id="14" name="TextBox 13">
            <a:extLst>
              <a:ext uri="{FF2B5EF4-FFF2-40B4-BE49-F238E27FC236}">
                <a16:creationId xmlns:a16="http://schemas.microsoft.com/office/drawing/2014/main" id="{19D4E3F0-4FD8-4260-BBCC-6C2079BF1C6C}"/>
              </a:ext>
            </a:extLst>
          </xdr:cNvPr>
          <xdr:cNvSpPr txBox="1"/>
        </xdr:nvSpPr>
        <xdr:spPr>
          <a:xfrm>
            <a:off x="4200524" y="730251"/>
            <a:ext cx="1943545"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N" of Tracked Records</a:t>
            </a:r>
            <a:endParaRPr lang="en-GB" sz="1100" b="1" baseline="0"/>
          </a:p>
          <a:p>
            <a:endParaRPr lang="en-GB" sz="1100"/>
          </a:p>
        </xdr:txBody>
      </xdr:sp>
      <xdr:sp macro="" textlink="Calculations!E11">
        <xdr:nvSpPr>
          <xdr:cNvPr id="15" name="TextBox 14">
            <a:extLst>
              <a:ext uri="{FF2B5EF4-FFF2-40B4-BE49-F238E27FC236}">
                <a16:creationId xmlns:a16="http://schemas.microsoft.com/office/drawing/2014/main" id="{32665649-4591-4CE7-A615-074A13CA3F3B}"/>
              </a:ext>
            </a:extLst>
          </xdr:cNvPr>
          <xdr:cNvSpPr txBox="1"/>
        </xdr:nvSpPr>
        <xdr:spPr>
          <a:xfrm>
            <a:off x="4200525" y="1032196"/>
            <a:ext cx="409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AC952-EB10-4049-95ED-6D51F5FB75A2}" type="TxLink">
              <a:rPr lang="en-US" sz="1200" b="1" i="0" u="none" strike="noStrike">
                <a:solidFill>
                  <a:srgbClr val="000000"/>
                </a:solidFill>
                <a:latin typeface="Lucida Sans"/>
              </a:rPr>
              <a:pPr/>
              <a:t>13</a:t>
            </a:fld>
            <a:endParaRPr lang="en-GB" sz="1400" b="1"/>
          </a:p>
        </xdr:txBody>
      </xdr:sp>
      <xdr:sp macro="" textlink="Calculations!E12">
        <xdr:nvSpPr>
          <xdr:cNvPr id="16" name="TextBox 15">
            <a:extLst>
              <a:ext uri="{FF2B5EF4-FFF2-40B4-BE49-F238E27FC236}">
                <a16:creationId xmlns:a16="http://schemas.microsoft.com/office/drawing/2014/main" id="{C3E8BFBE-6A71-4051-BAD8-81651A7F0A9F}"/>
              </a:ext>
            </a:extLst>
          </xdr:cNvPr>
          <xdr:cNvSpPr txBox="1"/>
        </xdr:nvSpPr>
        <xdr:spPr>
          <a:xfrm>
            <a:off x="4573460" y="1030656"/>
            <a:ext cx="1464337" cy="296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7C7A6E-9703-4687-A388-339A1578429A}" type="TxLink">
              <a:rPr lang="en-US" sz="1100" b="0" i="0" u="none" strike="noStrike">
                <a:solidFill>
                  <a:srgbClr val="000000"/>
                </a:solidFill>
                <a:latin typeface="Lucida Sans"/>
              </a:rPr>
              <a:pPr/>
              <a:t>(13 this year)</a:t>
            </a:fld>
            <a:endParaRPr lang="en-GB" sz="1100" b="1"/>
          </a:p>
        </xdr:txBody>
      </xdr:sp>
    </xdr:grpSp>
    <xdr:clientData/>
  </xdr:twoCellAnchor>
  <xdr:twoCellAnchor editAs="absolute">
    <xdr:from>
      <xdr:col>6</xdr:col>
      <xdr:colOff>567705</xdr:colOff>
      <xdr:row>3</xdr:row>
      <xdr:rowOff>117474</xdr:rowOff>
    </xdr:from>
    <xdr:to>
      <xdr:col>8</xdr:col>
      <xdr:colOff>1254198</xdr:colOff>
      <xdr:row>8</xdr:row>
      <xdr:rowOff>3174</xdr:rowOff>
    </xdr:to>
    <xdr:grpSp>
      <xdr:nvGrpSpPr>
        <xdr:cNvPr id="25" name="Group 24">
          <a:extLst>
            <a:ext uri="{FF2B5EF4-FFF2-40B4-BE49-F238E27FC236}">
              <a16:creationId xmlns:a16="http://schemas.microsoft.com/office/drawing/2014/main" id="{383F9820-5D38-FE7E-A138-986D52D4B356}"/>
            </a:ext>
          </a:extLst>
        </xdr:cNvPr>
        <xdr:cNvGrpSpPr/>
      </xdr:nvGrpSpPr>
      <xdr:grpSpPr>
        <a:xfrm>
          <a:off x="6238403" y="649102"/>
          <a:ext cx="3202865" cy="771746"/>
          <a:chOff x="6353175" y="654050"/>
          <a:chExt cx="3444875" cy="793750"/>
        </a:xfrm>
      </xdr:grpSpPr>
      <xdr:sp macro="" textlink="">
        <xdr:nvSpPr>
          <xdr:cNvPr id="17" name="Rectangle: Rounded Corners 16">
            <a:extLst>
              <a:ext uri="{FF2B5EF4-FFF2-40B4-BE49-F238E27FC236}">
                <a16:creationId xmlns:a16="http://schemas.microsoft.com/office/drawing/2014/main" id="{082EAF4F-5E21-47A2-AFA9-3F6D81F50ED9}"/>
              </a:ext>
            </a:extLst>
          </xdr:cNvPr>
          <xdr:cNvSpPr/>
        </xdr:nvSpPr>
        <xdr:spPr>
          <a:xfrm>
            <a:off x="6388163" y="654050"/>
            <a:ext cx="3301615" cy="793750"/>
          </a:xfrm>
          <a:prstGeom prst="roundRect">
            <a:avLst>
              <a:gd name="adj" fmla="val 12192"/>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sp macro="" textlink="">
        <xdr:nvSpPr>
          <xdr:cNvPr id="18" name="TextBox 17">
            <a:extLst>
              <a:ext uri="{FF2B5EF4-FFF2-40B4-BE49-F238E27FC236}">
                <a16:creationId xmlns:a16="http://schemas.microsoft.com/office/drawing/2014/main" id="{8DDB8550-828D-45BA-81E0-4C46D736A42C}"/>
              </a:ext>
            </a:extLst>
          </xdr:cNvPr>
          <xdr:cNvSpPr txBox="1"/>
        </xdr:nvSpPr>
        <xdr:spPr>
          <a:xfrm>
            <a:off x="6353175" y="733426"/>
            <a:ext cx="2541057"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Total Tracking Balance</a:t>
            </a:r>
            <a:endParaRPr lang="en-GB" sz="1100" b="1" baseline="0"/>
          </a:p>
          <a:p>
            <a:endParaRPr lang="en-GB" sz="1100"/>
          </a:p>
        </xdr:txBody>
      </xdr:sp>
      <xdr:sp macro="" textlink="Calculations!E13">
        <xdr:nvSpPr>
          <xdr:cNvPr id="19" name="TextBox 18">
            <a:extLst>
              <a:ext uri="{FF2B5EF4-FFF2-40B4-BE49-F238E27FC236}">
                <a16:creationId xmlns:a16="http://schemas.microsoft.com/office/drawing/2014/main" id="{C7297632-3B54-47DF-A660-C594B87CB63D}"/>
              </a:ext>
            </a:extLst>
          </xdr:cNvPr>
          <xdr:cNvSpPr txBox="1"/>
        </xdr:nvSpPr>
        <xdr:spPr>
          <a:xfrm>
            <a:off x="6353175" y="1000126"/>
            <a:ext cx="830174"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4DBA61-006C-4F99-8C53-06296ADC6274}" type="TxLink">
              <a:rPr lang="en-US" sz="1200" b="1" i="0" u="none" strike="noStrike">
                <a:solidFill>
                  <a:srgbClr val="000000"/>
                </a:solidFill>
                <a:latin typeface="Lucida Sans"/>
              </a:rPr>
              <a:pPr/>
              <a:t> 50.0 </a:t>
            </a:fld>
            <a:endParaRPr lang="en-GB" sz="1600" b="1"/>
          </a:p>
        </xdr:txBody>
      </xdr:sp>
      <xdr:sp macro="" textlink="Calculations!E14">
        <xdr:nvSpPr>
          <xdr:cNvPr id="20" name="TextBox 19">
            <a:extLst>
              <a:ext uri="{FF2B5EF4-FFF2-40B4-BE49-F238E27FC236}">
                <a16:creationId xmlns:a16="http://schemas.microsoft.com/office/drawing/2014/main" id="{0291B40E-23FA-4188-A573-A617A8D1E555}"/>
              </a:ext>
            </a:extLst>
          </xdr:cNvPr>
          <xdr:cNvSpPr txBox="1"/>
        </xdr:nvSpPr>
        <xdr:spPr>
          <a:xfrm>
            <a:off x="7135758" y="1009650"/>
            <a:ext cx="2662292"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21FB1E-8DDD-40F7-A8ED-D4DFAA41561F}" type="TxLink">
              <a:rPr lang="en-US" sz="1050" b="0" i="0" u="none" strike="noStrike">
                <a:solidFill>
                  <a:srgbClr val="000000"/>
                </a:solidFill>
                <a:latin typeface="Lucida Sans"/>
              </a:rPr>
              <a:pPr/>
              <a:t>of tracked income to be allocated</a:t>
            </a:fld>
            <a:endParaRPr lang="en-GB" sz="105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25</xdr:col>
      <xdr:colOff>667792</xdr:colOff>
      <xdr:row>4</xdr:row>
      <xdr:rowOff>133150</xdr:rowOff>
    </xdr:from>
    <xdr:to>
      <xdr:col>27</xdr:col>
      <xdr:colOff>553191</xdr:colOff>
      <xdr:row>8</xdr:row>
      <xdr:rowOff>140370</xdr:rowOff>
    </xdr:to>
    <xdr:sp macro="" textlink="">
      <xdr:nvSpPr>
        <xdr:cNvPr id="8" name="Rectangle: Rounded Corners 7">
          <a:extLst>
            <a:ext uri="{FF2B5EF4-FFF2-40B4-BE49-F238E27FC236}">
              <a16:creationId xmlns:a16="http://schemas.microsoft.com/office/drawing/2014/main" id="{299C03AC-D53C-406E-8617-8BEEE7303D1E}"/>
            </a:ext>
          </a:extLst>
        </xdr:cNvPr>
        <xdr:cNvSpPr/>
      </xdr:nvSpPr>
      <xdr:spPr>
        <a:xfrm>
          <a:off x="2592845" y="885124"/>
          <a:ext cx="1569820" cy="719088"/>
        </a:xfrm>
        <a:prstGeom prst="roundRect">
          <a:avLst>
            <a:gd name="adj" fmla="val 16048"/>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31</xdr:col>
      <xdr:colOff>31401</xdr:colOff>
      <xdr:row>12</xdr:row>
      <xdr:rowOff>111648</xdr:rowOff>
    </xdr:from>
    <xdr:to>
      <xdr:col>34</xdr:col>
      <xdr:colOff>69396</xdr:colOff>
      <xdr:row>13</xdr:row>
      <xdr:rowOff>107845</xdr:rowOff>
    </xdr:to>
    <xdr:sp macro="" textlink="">
      <xdr:nvSpPr>
        <xdr:cNvPr id="2" name="TextBox 1">
          <a:extLst>
            <a:ext uri="{FF2B5EF4-FFF2-40B4-BE49-F238E27FC236}">
              <a16:creationId xmlns:a16="http://schemas.microsoft.com/office/drawing/2014/main" id="{54E3E79B-57B8-575F-CB2B-2E51AADBB7AD}"/>
            </a:ext>
          </a:extLst>
        </xdr:cNvPr>
        <xdr:cNvSpPr txBox="1"/>
      </xdr:nvSpPr>
      <xdr:spPr>
        <a:xfrm>
          <a:off x="7180385" y="2435329"/>
          <a:ext cx="2361676" cy="310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rgbClr val="00B050"/>
              </a:solidFill>
            </a:rPr>
            <a:t>Income </a:t>
          </a:r>
          <a:r>
            <a:rPr lang="en-GB" sz="1100" b="1"/>
            <a:t>Categories</a:t>
          </a:r>
          <a:r>
            <a:rPr lang="en-GB" sz="1100" b="1" baseline="0"/>
            <a:t> (Tracked)</a:t>
          </a:r>
          <a:endParaRPr lang="en-GB" sz="1100" b="1"/>
        </a:p>
      </xdr:txBody>
    </xdr:sp>
    <xdr:clientData/>
  </xdr:twoCellAnchor>
  <xdr:twoCellAnchor>
    <xdr:from>
      <xdr:col>31</xdr:col>
      <xdr:colOff>0</xdr:colOff>
      <xdr:row>14</xdr:row>
      <xdr:rowOff>0</xdr:rowOff>
    </xdr:from>
    <xdr:to>
      <xdr:col>32</xdr:col>
      <xdr:colOff>751973</xdr:colOff>
      <xdr:row>23</xdr:row>
      <xdr:rowOff>29496</xdr:rowOff>
    </xdr:to>
    <xdr:graphicFrame macro="">
      <xdr:nvGraphicFramePr>
        <xdr:cNvPr id="3" name="Chart 2">
          <a:extLst>
            <a:ext uri="{FF2B5EF4-FFF2-40B4-BE49-F238E27FC236}">
              <a16:creationId xmlns:a16="http://schemas.microsoft.com/office/drawing/2014/main" id="{911C7004-7771-4D7D-9925-04E1962CF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28225</xdr:colOff>
      <xdr:row>25</xdr:row>
      <xdr:rowOff>143363</xdr:rowOff>
    </xdr:from>
    <xdr:to>
      <xdr:col>34</xdr:col>
      <xdr:colOff>181113</xdr:colOff>
      <xdr:row>26</xdr:row>
      <xdr:rowOff>157006</xdr:rowOff>
    </xdr:to>
    <xdr:sp macro="" textlink="">
      <xdr:nvSpPr>
        <xdr:cNvPr id="4" name="TextBox 3">
          <a:extLst>
            <a:ext uri="{FF2B5EF4-FFF2-40B4-BE49-F238E27FC236}">
              <a16:creationId xmlns:a16="http://schemas.microsoft.com/office/drawing/2014/main" id="{8E7B64B0-1703-4DB7-B015-2EB6E5F1FE5F}"/>
            </a:ext>
          </a:extLst>
        </xdr:cNvPr>
        <xdr:cNvSpPr txBox="1"/>
      </xdr:nvSpPr>
      <xdr:spPr>
        <a:xfrm>
          <a:off x="7177209" y="5178006"/>
          <a:ext cx="2476569" cy="19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rgbClr val="FF0066"/>
              </a:solidFill>
            </a:rPr>
            <a:t>Expenses</a:t>
          </a:r>
          <a:r>
            <a:rPr lang="en-GB" sz="1100" b="1">
              <a:solidFill>
                <a:srgbClr val="E91B96"/>
              </a:solidFill>
            </a:rPr>
            <a:t> </a:t>
          </a:r>
          <a:r>
            <a:rPr lang="en-GB" sz="1100" b="1"/>
            <a:t>Categories</a:t>
          </a:r>
          <a:r>
            <a:rPr lang="en-GB" sz="1100" b="1" baseline="0"/>
            <a:t> (Tracked)</a:t>
          </a:r>
          <a:endParaRPr lang="en-GB" sz="1100" b="1"/>
        </a:p>
      </xdr:txBody>
    </xdr:sp>
    <xdr:clientData/>
  </xdr:twoCellAnchor>
  <xdr:twoCellAnchor>
    <xdr:from>
      <xdr:col>31</xdr:col>
      <xdr:colOff>52334</xdr:colOff>
      <xdr:row>27</xdr:row>
      <xdr:rowOff>0</xdr:rowOff>
    </xdr:from>
    <xdr:to>
      <xdr:col>32</xdr:col>
      <xdr:colOff>505593</xdr:colOff>
      <xdr:row>36</xdr:row>
      <xdr:rowOff>28226</xdr:rowOff>
    </xdr:to>
    <xdr:graphicFrame macro="">
      <xdr:nvGraphicFramePr>
        <xdr:cNvPr id="5" name="Chart 4">
          <a:extLst>
            <a:ext uri="{FF2B5EF4-FFF2-40B4-BE49-F238E27FC236}">
              <a16:creationId xmlns:a16="http://schemas.microsoft.com/office/drawing/2014/main" id="{FAE54A05-C1D4-4125-9381-1673843F3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0</xdr:colOff>
      <xdr:row>25</xdr:row>
      <xdr:rowOff>140188</xdr:rowOff>
    </xdr:from>
    <xdr:to>
      <xdr:col>41</xdr:col>
      <xdr:colOff>146538</xdr:colOff>
      <xdr:row>26</xdr:row>
      <xdr:rowOff>160181</xdr:rowOff>
    </xdr:to>
    <xdr:sp macro="" textlink="">
      <xdr:nvSpPr>
        <xdr:cNvPr id="10" name="TextBox 9">
          <a:extLst>
            <a:ext uri="{FF2B5EF4-FFF2-40B4-BE49-F238E27FC236}">
              <a16:creationId xmlns:a16="http://schemas.microsoft.com/office/drawing/2014/main" id="{40246A7B-803D-406C-ADA8-28221AB9AD2E}"/>
            </a:ext>
          </a:extLst>
        </xdr:cNvPr>
        <xdr:cNvSpPr txBox="1"/>
      </xdr:nvSpPr>
      <xdr:spPr>
        <a:xfrm>
          <a:off x="12487170" y="5216699"/>
          <a:ext cx="2470220" cy="197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rgbClr val="12C1DE"/>
              </a:solidFill>
            </a:rPr>
            <a:t>Savings</a:t>
          </a:r>
          <a:r>
            <a:rPr lang="en-GB" sz="1100" b="1">
              <a:solidFill>
                <a:srgbClr val="E91B96"/>
              </a:solidFill>
            </a:rPr>
            <a:t> </a:t>
          </a:r>
          <a:r>
            <a:rPr lang="en-GB" sz="1100" b="1"/>
            <a:t>Categories</a:t>
          </a:r>
          <a:r>
            <a:rPr lang="en-GB" sz="1100" b="1" baseline="0"/>
            <a:t> (Tracked)</a:t>
          </a:r>
          <a:endParaRPr lang="en-GB" sz="1100" b="1"/>
        </a:p>
      </xdr:txBody>
    </xdr:sp>
    <xdr:clientData/>
  </xdr:twoCellAnchor>
  <xdr:twoCellAnchor>
    <xdr:from>
      <xdr:col>38</xdr:col>
      <xdr:colOff>52334</xdr:colOff>
      <xdr:row>27</xdr:row>
      <xdr:rowOff>0</xdr:rowOff>
    </xdr:from>
    <xdr:to>
      <xdr:col>39</xdr:col>
      <xdr:colOff>505593</xdr:colOff>
      <xdr:row>36</xdr:row>
      <xdr:rowOff>28226</xdr:rowOff>
    </xdr:to>
    <xdr:graphicFrame macro="">
      <xdr:nvGraphicFramePr>
        <xdr:cNvPr id="11" name="Chart 10">
          <a:extLst>
            <a:ext uri="{FF2B5EF4-FFF2-40B4-BE49-F238E27FC236}">
              <a16:creationId xmlns:a16="http://schemas.microsoft.com/office/drawing/2014/main" id="{32A9C0ED-8640-45DD-8043-C4F7684AE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49160</xdr:colOff>
      <xdr:row>11</xdr:row>
      <xdr:rowOff>251836</xdr:rowOff>
    </xdr:from>
    <xdr:to>
      <xdr:col>41</xdr:col>
      <xdr:colOff>93504</xdr:colOff>
      <xdr:row>12</xdr:row>
      <xdr:rowOff>306718</xdr:rowOff>
    </xdr:to>
    <xdr:sp macro="" textlink="">
      <xdr:nvSpPr>
        <xdr:cNvPr id="16" name="TextBox 15">
          <a:extLst>
            <a:ext uri="{FF2B5EF4-FFF2-40B4-BE49-F238E27FC236}">
              <a16:creationId xmlns:a16="http://schemas.microsoft.com/office/drawing/2014/main" id="{563F5F93-F688-4DA7-95A2-80D5F2D31AF2}"/>
            </a:ext>
          </a:extLst>
        </xdr:cNvPr>
        <xdr:cNvSpPr txBox="1"/>
      </xdr:nvSpPr>
      <xdr:spPr>
        <a:xfrm>
          <a:off x="12536330" y="2313841"/>
          <a:ext cx="2368026" cy="316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baseline="0"/>
            <a:t>Tracked (vs.Budget) </a:t>
          </a:r>
          <a:endParaRPr lang="en-GB" sz="1100" b="1"/>
        </a:p>
      </xdr:txBody>
    </xdr:sp>
    <xdr:clientData/>
  </xdr:twoCellAnchor>
  <xdr:twoCellAnchor>
    <xdr:from>
      <xdr:col>38</xdr:col>
      <xdr:colOff>91029</xdr:colOff>
      <xdr:row>12</xdr:row>
      <xdr:rowOff>275318</xdr:rowOff>
    </xdr:from>
    <xdr:to>
      <xdr:col>44</xdr:col>
      <xdr:colOff>14585</xdr:colOff>
      <xdr:row>23</xdr:row>
      <xdr:rowOff>115136</xdr:rowOff>
    </xdr:to>
    <xdr:graphicFrame macro="">
      <xdr:nvGraphicFramePr>
        <xdr:cNvPr id="18" name="Chart 17">
          <a:extLst>
            <a:ext uri="{FF2B5EF4-FFF2-40B4-BE49-F238E27FC236}">
              <a16:creationId xmlns:a16="http://schemas.microsoft.com/office/drawing/2014/main" id="{EAAA4857-715E-4B4E-8200-D41CCB484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42</xdr:col>
          <xdr:colOff>495300</xdr:colOff>
          <xdr:row>11</xdr:row>
          <xdr:rowOff>236220</xdr:rowOff>
        </xdr:from>
        <xdr:to>
          <xdr:col>43</xdr:col>
          <xdr:colOff>205740</xdr:colOff>
          <xdr:row>12</xdr:row>
          <xdr:rowOff>160020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Income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495300</xdr:colOff>
          <xdr:row>12</xdr:row>
          <xdr:rowOff>198120</xdr:rowOff>
        </xdr:from>
        <xdr:to>
          <xdr:col>43</xdr:col>
          <xdr:colOff>213360</xdr:colOff>
          <xdr:row>13</xdr:row>
          <xdr:rowOff>60960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Expenses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678180</xdr:colOff>
          <xdr:row>12</xdr:row>
          <xdr:rowOff>213360</xdr:rowOff>
        </xdr:from>
        <xdr:to>
          <xdr:col>41</xdr:col>
          <xdr:colOff>1226820</xdr:colOff>
          <xdr:row>13</xdr:row>
          <xdr:rowOff>76200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Savings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693420</xdr:colOff>
          <xdr:row>12</xdr:row>
          <xdr:rowOff>0</xdr:rowOff>
        </xdr:from>
        <xdr:to>
          <xdr:col>41</xdr:col>
          <xdr:colOff>1226820</xdr:colOff>
          <xdr:row>12</xdr:row>
          <xdr:rowOff>190500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Budget</a:t>
              </a:r>
            </a:p>
          </xdr:txBody>
        </xdr:sp>
        <xdr:clientData/>
      </xdr:twoCellAnchor>
    </mc:Choice>
    <mc:Fallback/>
  </mc:AlternateContent>
  <xdr:twoCellAnchor>
    <xdr:from>
      <xdr:col>41</xdr:col>
      <xdr:colOff>722225</xdr:colOff>
      <xdr:row>12</xdr:row>
      <xdr:rowOff>3174</xdr:rowOff>
    </xdr:from>
    <xdr:to>
      <xdr:col>43</xdr:col>
      <xdr:colOff>303543</xdr:colOff>
      <xdr:row>13</xdr:row>
      <xdr:rowOff>73270</xdr:rowOff>
    </xdr:to>
    <xdr:sp macro="" textlink="">
      <xdr:nvSpPr>
        <xdr:cNvPr id="19" name="Rectangle 18">
          <a:extLst>
            <a:ext uri="{FF2B5EF4-FFF2-40B4-BE49-F238E27FC236}">
              <a16:creationId xmlns:a16="http://schemas.microsoft.com/office/drawing/2014/main" id="{8E40BAD6-5426-A85D-CFC8-AAD50E57F565}"/>
            </a:ext>
          </a:extLst>
        </xdr:cNvPr>
        <xdr:cNvSpPr/>
      </xdr:nvSpPr>
      <xdr:spPr>
        <a:xfrm>
          <a:off x="15533077" y="2326855"/>
          <a:ext cx="1978268" cy="384107"/>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24</xdr:col>
      <xdr:colOff>55284</xdr:colOff>
      <xdr:row>4</xdr:row>
      <xdr:rowOff>101950</xdr:rowOff>
    </xdr:from>
    <xdr:to>
      <xdr:col>25</xdr:col>
      <xdr:colOff>517093</xdr:colOff>
      <xdr:row>8</xdr:row>
      <xdr:rowOff>153704</xdr:rowOff>
    </xdr:to>
    <xdr:grpSp>
      <xdr:nvGrpSpPr>
        <xdr:cNvPr id="26" name="Group 25">
          <a:extLst>
            <a:ext uri="{FF2B5EF4-FFF2-40B4-BE49-F238E27FC236}">
              <a16:creationId xmlns:a16="http://schemas.microsoft.com/office/drawing/2014/main" id="{0924D8CC-D06E-C531-31B4-9EBD33B7070C}"/>
            </a:ext>
          </a:extLst>
        </xdr:cNvPr>
        <xdr:cNvGrpSpPr/>
      </xdr:nvGrpSpPr>
      <xdr:grpSpPr>
        <a:xfrm>
          <a:off x="360084" y="871971"/>
          <a:ext cx="2074041" cy="781670"/>
          <a:chOff x="312491" y="892513"/>
          <a:chExt cx="2181839" cy="768571"/>
        </a:xfrm>
      </xdr:grpSpPr>
      <xdr:grpSp>
        <xdr:nvGrpSpPr>
          <xdr:cNvPr id="20" name="Group 19">
            <a:extLst>
              <a:ext uri="{FF2B5EF4-FFF2-40B4-BE49-F238E27FC236}">
                <a16:creationId xmlns:a16="http://schemas.microsoft.com/office/drawing/2014/main" id="{CD694E44-3CD4-42B0-95DD-E99052651873}"/>
              </a:ext>
            </a:extLst>
          </xdr:cNvPr>
          <xdr:cNvGrpSpPr/>
        </xdr:nvGrpSpPr>
        <xdr:grpSpPr>
          <a:xfrm>
            <a:off x="312491" y="892513"/>
            <a:ext cx="2185014" cy="768571"/>
            <a:chOff x="473075" y="666749"/>
            <a:chExt cx="1371600" cy="790575"/>
          </a:xfrm>
        </xdr:grpSpPr>
        <xdr:sp macro="" textlink="">
          <xdr:nvSpPr>
            <xdr:cNvPr id="21" name="Rectangle: Rounded Corners 20">
              <a:extLst>
                <a:ext uri="{FF2B5EF4-FFF2-40B4-BE49-F238E27FC236}">
                  <a16:creationId xmlns:a16="http://schemas.microsoft.com/office/drawing/2014/main" id="{B06F2033-A9A5-3A85-43E9-5B51FFB4CC2A}"/>
                </a:ext>
              </a:extLst>
            </xdr:cNvPr>
            <xdr:cNvSpPr/>
          </xdr:nvSpPr>
          <xdr:spPr>
            <a:xfrm>
              <a:off x="473075" y="666749"/>
              <a:ext cx="1371600" cy="790575"/>
            </a:xfrm>
            <a:prstGeom prst="roundRect">
              <a:avLst>
                <a:gd name="adj" fmla="val 12192"/>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sp macro="" textlink="">
          <xdr:nvSpPr>
            <xdr:cNvPr id="22" name="TextBox 21">
              <a:extLst>
                <a:ext uri="{FF2B5EF4-FFF2-40B4-BE49-F238E27FC236}">
                  <a16:creationId xmlns:a16="http://schemas.microsoft.com/office/drawing/2014/main" id="{BA00E508-D44E-2D02-261E-F6BA2A65E65B}"/>
                </a:ext>
              </a:extLst>
            </xdr:cNvPr>
            <xdr:cNvSpPr txBox="1"/>
          </xdr:nvSpPr>
          <xdr:spPr>
            <a:xfrm>
              <a:off x="513570" y="725189"/>
              <a:ext cx="1242827" cy="256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Selected year &amp; Period</a:t>
              </a:r>
            </a:p>
            <a:p>
              <a:endParaRPr lang="en-GB" sz="1100"/>
            </a:p>
          </xdr:txBody>
        </xdr:sp>
      </xdr:grpSp>
      <xdr:sp macro="" textlink="selected_year">
        <xdr:nvSpPr>
          <xdr:cNvPr id="24" name="Rectangle: Rounded Corners 23">
            <a:extLst>
              <a:ext uri="{FF2B5EF4-FFF2-40B4-BE49-F238E27FC236}">
                <a16:creationId xmlns:a16="http://schemas.microsoft.com/office/drawing/2014/main" id="{B34B9DD0-A902-4D8A-7293-919B6DB253F9}"/>
              </a:ext>
            </a:extLst>
          </xdr:cNvPr>
          <xdr:cNvSpPr/>
        </xdr:nvSpPr>
        <xdr:spPr>
          <a:xfrm>
            <a:off x="425974" y="1277387"/>
            <a:ext cx="628020" cy="252000"/>
          </a:xfrm>
          <a:prstGeom prst="roundRect">
            <a:avLst>
              <a:gd name="adj" fmla="val 48854"/>
            </a:avLst>
          </a:prstGeom>
          <a:solidFill>
            <a:schemeClr val="bg1"/>
          </a:solidFill>
          <a:ln w="127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699A09-2D4D-4E4E-ABF1-E8E033468511}" type="TxLink">
              <a:rPr lang="en-US" sz="1000" b="1" i="0" u="none" strike="noStrike">
                <a:solidFill>
                  <a:srgbClr val="000000"/>
                </a:solidFill>
                <a:latin typeface="Lucida Sans"/>
              </a:rPr>
              <a:pPr algn="ctr"/>
              <a:t>2025</a:t>
            </a:fld>
            <a:endParaRPr lang="en-GB" sz="1000" b="1"/>
          </a:p>
        </xdr:txBody>
      </xdr:sp>
      <xdr:sp macro="" textlink="selected_period_display">
        <xdr:nvSpPr>
          <xdr:cNvPr id="25" name="Rectangle: Rounded Corners 24">
            <a:extLst>
              <a:ext uri="{FF2B5EF4-FFF2-40B4-BE49-F238E27FC236}">
                <a16:creationId xmlns:a16="http://schemas.microsoft.com/office/drawing/2014/main" id="{BAFE665E-D69E-48F4-8B11-899C3AE3A268}"/>
              </a:ext>
            </a:extLst>
          </xdr:cNvPr>
          <xdr:cNvSpPr/>
        </xdr:nvSpPr>
        <xdr:spPr>
          <a:xfrm>
            <a:off x="1151375" y="1276978"/>
            <a:ext cx="1022593" cy="258350"/>
          </a:xfrm>
          <a:prstGeom prst="roundRect">
            <a:avLst>
              <a:gd name="adj" fmla="val 50000"/>
            </a:avLst>
          </a:prstGeom>
          <a:solidFill>
            <a:schemeClr val="bg1"/>
          </a:solidFill>
          <a:ln w="127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F81A4F-F5F4-4E73-8677-92DCE6B737FE}" type="TxLink">
              <a:rPr lang="en-US" sz="1100" b="1" i="0" u="none" strike="noStrike">
                <a:solidFill>
                  <a:srgbClr val="000000"/>
                </a:solidFill>
                <a:latin typeface="Lucida Sans"/>
              </a:rPr>
              <a:pPr algn="ctr"/>
              <a:t>May</a:t>
            </a:fld>
            <a:endParaRPr lang="en-GB" sz="1000" b="1"/>
          </a:p>
        </xdr:txBody>
      </xdr:sp>
    </xdr:grpSp>
    <xdr:clientData/>
  </xdr:twoCellAnchor>
  <xdr:twoCellAnchor>
    <xdr:from>
      <xdr:col>25</xdr:col>
      <xdr:colOff>739703</xdr:colOff>
      <xdr:row>4</xdr:row>
      <xdr:rowOff>158185</xdr:rowOff>
    </xdr:from>
    <xdr:to>
      <xdr:col>27</xdr:col>
      <xdr:colOff>311312</xdr:colOff>
      <xdr:row>8</xdr:row>
      <xdr:rowOff>153704</xdr:rowOff>
    </xdr:to>
    <xdr:grpSp>
      <xdr:nvGrpSpPr>
        <xdr:cNvPr id="6" name="Group 5">
          <a:extLst>
            <a:ext uri="{FF2B5EF4-FFF2-40B4-BE49-F238E27FC236}">
              <a16:creationId xmlns:a16="http://schemas.microsoft.com/office/drawing/2014/main" id="{30EE7C99-9DBB-FD78-3B6D-3450614ABDAF}"/>
            </a:ext>
          </a:extLst>
        </xdr:cNvPr>
        <xdr:cNvGrpSpPr/>
      </xdr:nvGrpSpPr>
      <xdr:grpSpPr>
        <a:xfrm>
          <a:off x="2656735" y="928206"/>
          <a:ext cx="1256030" cy="725435"/>
          <a:chOff x="-6492742" y="774930"/>
          <a:chExt cx="1261015" cy="705373"/>
        </a:xfrm>
      </xdr:grpSpPr>
      <xdr:sp macro="" textlink="">
        <xdr:nvSpPr>
          <xdr:cNvPr id="29" name="TextBox 28">
            <a:extLst>
              <a:ext uri="{FF2B5EF4-FFF2-40B4-BE49-F238E27FC236}">
                <a16:creationId xmlns:a16="http://schemas.microsoft.com/office/drawing/2014/main" id="{F3A598E2-47FC-1B84-7CD5-29EA1A6B4CE7}"/>
              </a:ext>
            </a:extLst>
          </xdr:cNvPr>
          <xdr:cNvSpPr txBox="1"/>
        </xdr:nvSpPr>
        <xdr:spPr>
          <a:xfrm>
            <a:off x="-6453165" y="774930"/>
            <a:ext cx="1221438" cy="266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Period</a:t>
            </a:r>
            <a:r>
              <a:rPr lang="en-GB" sz="1100" b="1" baseline="0"/>
              <a:t> Compl.</a:t>
            </a:r>
            <a:endParaRPr lang="en-GB" sz="1100" b="1"/>
          </a:p>
          <a:p>
            <a:endParaRPr lang="en-GB" sz="1100"/>
          </a:p>
        </xdr:txBody>
      </xdr:sp>
      <xdr:sp macro="" textlink="Calculations!E24">
        <xdr:nvSpPr>
          <xdr:cNvPr id="30" name="TextBox 29">
            <a:extLst>
              <a:ext uri="{FF2B5EF4-FFF2-40B4-BE49-F238E27FC236}">
                <a16:creationId xmlns:a16="http://schemas.microsoft.com/office/drawing/2014/main" id="{41B6E32D-482F-461B-CBA9-4D28C7ACACD7}"/>
              </a:ext>
            </a:extLst>
          </xdr:cNvPr>
          <xdr:cNvSpPr txBox="1"/>
        </xdr:nvSpPr>
        <xdr:spPr>
          <a:xfrm>
            <a:off x="-6074808" y="1071979"/>
            <a:ext cx="575688" cy="285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865699-2A36-4E7F-AC28-F561E85A4BE1}" type="TxLink">
              <a:rPr lang="en-US" sz="1100" b="0" i="0" u="none" strike="noStrike">
                <a:solidFill>
                  <a:srgbClr val="000000"/>
                </a:solidFill>
                <a:latin typeface="Lucida Sans"/>
              </a:rPr>
              <a:pPr algn="ctr"/>
              <a:t>58%</a:t>
            </a:fld>
            <a:endParaRPr lang="en-GB" sz="1200" b="1"/>
          </a:p>
        </xdr:txBody>
      </xdr:sp>
      <xdr:graphicFrame macro="">
        <xdr:nvGraphicFramePr>
          <xdr:cNvPr id="31" name="Chart 30">
            <a:extLst>
              <a:ext uri="{FF2B5EF4-FFF2-40B4-BE49-F238E27FC236}">
                <a16:creationId xmlns:a16="http://schemas.microsoft.com/office/drawing/2014/main" id="{695CD252-DC2A-439E-B14C-AD11B7ED7DD1}"/>
              </a:ext>
            </a:extLst>
          </xdr:cNvPr>
          <xdr:cNvGraphicFramePr>
            <a:graphicFrameLocks/>
          </xdr:cNvGraphicFramePr>
        </xdr:nvGraphicFramePr>
        <xdr:xfrm>
          <a:off x="-6492742" y="960840"/>
          <a:ext cx="688741" cy="51946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27</xdr:col>
      <xdr:colOff>684840</xdr:colOff>
      <xdr:row>4</xdr:row>
      <xdr:rowOff>110840</xdr:rowOff>
    </xdr:from>
    <xdr:to>
      <xdr:col>31</xdr:col>
      <xdr:colOff>1101290</xdr:colOff>
      <xdr:row>8</xdr:row>
      <xdr:rowOff>153704</xdr:rowOff>
    </xdr:to>
    <xdr:grpSp>
      <xdr:nvGrpSpPr>
        <xdr:cNvPr id="4103" name="Group 4102">
          <a:extLst>
            <a:ext uri="{FF2B5EF4-FFF2-40B4-BE49-F238E27FC236}">
              <a16:creationId xmlns:a16="http://schemas.microsoft.com/office/drawing/2014/main" id="{1B3C9B40-197B-C94C-9507-8C704F1D7331}"/>
            </a:ext>
          </a:extLst>
        </xdr:cNvPr>
        <xdr:cNvGrpSpPr/>
      </xdr:nvGrpSpPr>
      <xdr:grpSpPr>
        <a:xfrm>
          <a:off x="4286293" y="880861"/>
          <a:ext cx="3568723" cy="772780"/>
          <a:chOff x="4047567" y="844656"/>
          <a:chExt cx="3336431" cy="781271"/>
        </a:xfrm>
      </xdr:grpSpPr>
      <xdr:sp macro="" textlink="">
        <xdr:nvSpPr>
          <xdr:cNvPr id="4098" name="Rectangle: Rounded Corners 4097">
            <a:extLst>
              <a:ext uri="{FF2B5EF4-FFF2-40B4-BE49-F238E27FC236}">
                <a16:creationId xmlns:a16="http://schemas.microsoft.com/office/drawing/2014/main" id="{3E96B44D-A04C-464F-67D6-5EFD218147DF}"/>
              </a:ext>
            </a:extLst>
          </xdr:cNvPr>
          <xdr:cNvSpPr/>
        </xdr:nvSpPr>
        <xdr:spPr>
          <a:xfrm>
            <a:off x="4088970" y="844656"/>
            <a:ext cx="3295028" cy="781271"/>
          </a:xfrm>
          <a:prstGeom prst="roundRect">
            <a:avLst>
              <a:gd name="adj" fmla="val 12192"/>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sp macro="" textlink="">
        <xdr:nvSpPr>
          <xdr:cNvPr id="4099" name="TextBox 4098">
            <a:extLst>
              <a:ext uri="{FF2B5EF4-FFF2-40B4-BE49-F238E27FC236}">
                <a16:creationId xmlns:a16="http://schemas.microsoft.com/office/drawing/2014/main" id="{ED784E97-6D16-FC3E-E421-E5D936880598}"/>
              </a:ext>
            </a:extLst>
          </xdr:cNvPr>
          <xdr:cNvSpPr txBox="1"/>
        </xdr:nvSpPr>
        <xdr:spPr>
          <a:xfrm>
            <a:off x="4050742" y="919609"/>
            <a:ext cx="2082939" cy="33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Period</a:t>
            </a:r>
            <a:r>
              <a:rPr lang="en-GB" sz="1100" b="1" baseline="0"/>
              <a:t> </a:t>
            </a:r>
            <a:r>
              <a:rPr lang="en-GB" sz="1100" b="1"/>
              <a:t>Tracking Balance</a:t>
            </a:r>
            <a:endParaRPr lang="en-GB" sz="1100" b="1" baseline="0"/>
          </a:p>
          <a:p>
            <a:endParaRPr lang="en-GB" sz="1100"/>
          </a:p>
        </xdr:txBody>
      </xdr:sp>
      <xdr:sp macro="" textlink="Calculations!E25">
        <xdr:nvSpPr>
          <xdr:cNvPr id="4100" name="TextBox 4099">
            <a:extLst>
              <a:ext uri="{FF2B5EF4-FFF2-40B4-BE49-F238E27FC236}">
                <a16:creationId xmlns:a16="http://schemas.microsoft.com/office/drawing/2014/main" id="{205F912B-5B6A-674D-D17B-004BD884411E}"/>
              </a:ext>
            </a:extLst>
          </xdr:cNvPr>
          <xdr:cNvSpPr txBox="1"/>
        </xdr:nvSpPr>
        <xdr:spPr>
          <a:xfrm>
            <a:off x="4047567" y="1213336"/>
            <a:ext cx="831711" cy="29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0F8CFAE-D78D-4620-83AF-037B07EDAE3C}" type="TxLink">
              <a:rPr lang="en-US" sz="1100" b="1" i="0" u="none" strike="noStrike">
                <a:solidFill>
                  <a:srgbClr val="000000"/>
                </a:solidFill>
                <a:latin typeface="Lucida Sans"/>
              </a:rPr>
              <a:pPr/>
              <a:t> 50.0 </a:t>
            </a:fld>
            <a:endParaRPr lang="en-GB" sz="1600" b="1"/>
          </a:p>
        </xdr:txBody>
      </xdr:sp>
      <xdr:sp macro="" textlink="Calculations!E26">
        <xdr:nvSpPr>
          <xdr:cNvPr id="4101" name="TextBox 4100">
            <a:extLst>
              <a:ext uri="{FF2B5EF4-FFF2-40B4-BE49-F238E27FC236}">
                <a16:creationId xmlns:a16="http://schemas.microsoft.com/office/drawing/2014/main" id="{D4DA6C4C-2F95-4C17-2AE2-DF4279C64899}"/>
              </a:ext>
            </a:extLst>
          </xdr:cNvPr>
          <xdr:cNvSpPr txBox="1"/>
        </xdr:nvSpPr>
        <xdr:spPr>
          <a:xfrm>
            <a:off x="4562769" y="1227840"/>
            <a:ext cx="2389440" cy="264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9F2154-57FC-4060-97C5-ABD7A2AFAF9C}" type="TxLink">
              <a:rPr lang="en-US" sz="1000" b="0" i="0" u="none" strike="noStrike">
                <a:solidFill>
                  <a:srgbClr val="000000"/>
                </a:solidFill>
                <a:latin typeface="Lucida Sans"/>
              </a:rPr>
              <a:pPr algn="ctr"/>
              <a:t>of tracked income left to be allocated</a:t>
            </a:fld>
            <a:endParaRPr lang="en-GB" sz="900" b="1"/>
          </a:p>
        </xdr:txBody>
      </xdr:sp>
    </xdr:grpSp>
    <xdr:clientData/>
  </xdr:twoCellAnchor>
  <xdr:twoCellAnchor>
    <xdr:from>
      <xdr:col>32</xdr:col>
      <xdr:colOff>129943</xdr:colOff>
      <xdr:row>4</xdr:row>
      <xdr:rowOff>119730</xdr:rowOff>
    </xdr:from>
    <xdr:to>
      <xdr:col>35</xdr:col>
      <xdr:colOff>370162</xdr:colOff>
      <xdr:row>8</xdr:row>
      <xdr:rowOff>153704</xdr:rowOff>
    </xdr:to>
    <xdr:grpSp>
      <xdr:nvGrpSpPr>
        <xdr:cNvPr id="4112" name="Group 4111">
          <a:extLst>
            <a:ext uri="{FF2B5EF4-FFF2-40B4-BE49-F238E27FC236}">
              <a16:creationId xmlns:a16="http://schemas.microsoft.com/office/drawing/2014/main" id="{84966F27-88F2-69DB-D629-F6C645B47D9C}"/>
            </a:ext>
          </a:extLst>
        </xdr:cNvPr>
        <xdr:cNvGrpSpPr/>
      </xdr:nvGrpSpPr>
      <xdr:grpSpPr>
        <a:xfrm>
          <a:off x="8014638" y="889751"/>
          <a:ext cx="2879145" cy="763890"/>
          <a:chOff x="7526073" y="844656"/>
          <a:chExt cx="2902344" cy="771746"/>
        </a:xfrm>
      </xdr:grpSpPr>
      <xdr:sp macro="" textlink="">
        <xdr:nvSpPr>
          <xdr:cNvPr id="4105" name="Rectangle: Rounded Corners 4104">
            <a:extLst>
              <a:ext uri="{FF2B5EF4-FFF2-40B4-BE49-F238E27FC236}">
                <a16:creationId xmlns:a16="http://schemas.microsoft.com/office/drawing/2014/main" id="{A3AFD98B-B351-0890-364E-449ED96AC9AD}"/>
              </a:ext>
            </a:extLst>
          </xdr:cNvPr>
          <xdr:cNvSpPr/>
        </xdr:nvSpPr>
        <xdr:spPr>
          <a:xfrm>
            <a:off x="7566993" y="844656"/>
            <a:ext cx="2861424" cy="771746"/>
          </a:xfrm>
          <a:prstGeom prst="roundRect">
            <a:avLst>
              <a:gd name="adj" fmla="val 12192"/>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sp macro="" textlink="">
        <xdr:nvSpPr>
          <xdr:cNvPr id="4106" name="TextBox 4105">
            <a:extLst>
              <a:ext uri="{FF2B5EF4-FFF2-40B4-BE49-F238E27FC236}">
                <a16:creationId xmlns:a16="http://schemas.microsoft.com/office/drawing/2014/main" id="{F56F46EB-E4EF-2C67-6AEC-42104B648807}"/>
              </a:ext>
            </a:extLst>
          </xdr:cNvPr>
          <xdr:cNvSpPr txBox="1"/>
        </xdr:nvSpPr>
        <xdr:spPr>
          <a:xfrm>
            <a:off x="7526073" y="901894"/>
            <a:ext cx="2120214" cy="32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GB" sz="1100" b="1"/>
              <a:t>Period</a:t>
            </a:r>
            <a:r>
              <a:rPr lang="en-GB" sz="1100" b="1" baseline="0"/>
              <a:t> Savings Rate</a:t>
            </a:r>
          </a:p>
          <a:p>
            <a:endParaRPr lang="en-GB" sz="1100"/>
          </a:p>
        </xdr:txBody>
      </xdr:sp>
      <xdr:sp macro="" textlink="Calculations!E27">
        <xdr:nvSpPr>
          <xdr:cNvPr id="4107" name="TextBox 4106">
            <a:extLst>
              <a:ext uri="{FF2B5EF4-FFF2-40B4-BE49-F238E27FC236}">
                <a16:creationId xmlns:a16="http://schemas.microsoft.com/office/drawing/2014/main" id="{3F87C5BB-4FB8-7367-2CFB-8418193AD48C}"/>
              </a:ext>
            </a:extLst>
          </xdr:cNvPr>
          <xdr:cNvSpPr txBox="1"/>
        </xdr:nvSpPr>
        <xdr:spPr>
          <a:xfrm>
            <a:off x="8610476" y="1228358"/>
            <a:ext cx="568631" cy="27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6F517C-584B-4681-8A01-12FB35E8A2C0}" type="TxLink">
              <a:rPr lang="en-US" sz="1200" b="1" i="0" u="none" strike="noStrike">
                <a:solidFill>
                  <a:srgbClr val="12C1DE"/>
                </a:solidFill>
                <a:latin typeface="Lucida Sans"/>
              </a:rPr>
              <a:pPr algn="ctr"/>
              <a:t>2.4%</a:t>
            </a:fld>
            <a:endParaRPr lang="en-GB" sz="1800" b="1">
              <a:solidFill>
                <a:srgbClr val="12C1DE"/>
              </a:solidFill>
            </a:endParaRPr>
          </a:p>
        </xdr:txBody>
      </xdr:sp>
      <xdr:sp macro="" textlink="">
        <xdr:nvSpPr>
          <xdr:cNvPr id="4108" name="TextBox 4107">
            <a:extLst>
              <a:ext uri="{FF2B5EF4-FFF2-40B4-BE49-F238E27FC236}">
                <a16:creationId xmlns:a16="http://schemas.microsoft.com/office/drawing/2014/main" id="{E3C3D487-5865-B930-266A-D7DC2070F06D}"/>
              </a:ext>
            </a:extLst>
          </xdr:cNvPr>
          <xdr:cNvSpPr txBox="1"/>
        </xdr:nvSpPr>
        <xdr:spPr>
          <a:xfrm>
            <a:off x="7526073" y="1250661"/>
            <a:ext cx="1264051" cy="255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US" sz="1100" b="0" i="0" u="none" strike="noStrike">
                <a:solidFill>
                  <a:srgbClr val="000000"/>
                </a:solidFill>
                <a:latin typeface="Lucida Sans"/>
              </a:rPr>
              <a:t>You</a:t>
            </a:r>
            <a:r>
              <a:rPr lang="en-US" sz="1100" b="0" i="0" u="none" strike="noStrike" baseline="0">
                <a:solidFill>
                  <a:srgbClr val="000000"/>
                </a:solidFill>
                <a:latin typeface="Lucida Sans"/>
              </a:rPr>
              <a:t> are Saving</a:t>
            </a:r>
          </a:p>
          <a:p>
            <a:pPr algn="ctr"/>
            <a:endParaRPr lang="en-US" sz="1100" b="0" i="0" u="none" strike="noStrike">
              <a:solidFill>
                <a:srgbClr val="000000"/>
              </a:solidFill>
              <a:latin typeface="Lucida Sans"/>
            </a:endParaRPr>
          </a:p>
        </xdr:txBody>
      </xdr:sp>
      <xdr:sp macro="" textlink="">
        <xdr:nvSpPr>
          <xdr:cNvPr id="4111" name="TextBox 4110">
            <a:extLst>
              <a:ext uri="{FF2B5EF4-FFF2-40B4-BE49-F238E27FC236}">
                <a16:creationId xmlns:a16="http://schemas.microsoft.com/office/drawing/2014/main" id="{B08C0C6A-7A75-4875-A6C5-9B9A24D0384E}"/>
              </a:ext>
            </a:extLst>
          </xdr:cNvPr>
          <xdr:cNvSpPr txBox="1"/>
        </xdr:nvSpPr>
        <xdr:spPr>
          <a:xfrm>
            <a:off x="9109772" y="1231611"/>
            <a:ext cx="1271937" cy="274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Lucida Sans"/>
              </a:rPr>
              <a:t>of your</a:t>
            </a:r>
            <a:r>
              <a:rPr lang="en-US" sz="1100" b="0" i="0" u="none" strike="noStrike" baseline="0">
                <a:solidFill>
                  <a:srgbClr val="000000"/>
                </a:solidFill>
                <a:latin typeface="Lucida Sans"/>
              </a:rPr>
              <a:t> Income</a:t>
            </a:r>
          </a:p>
          <a:p>
            <a:pPr algn="ctr"/>
            <a:endParaRPr lang="en-US" sz="1100" b="0" i="0" u="none" strike="noStrike" baseline="0">
              <a:solidFill>
                <a:srgbClr val="000000"/>
              </a:solidFill>
              <a:latin typeface="Lucida Sans"/>
            </a:endParaRPr>
          </a:p>
          <a:p>
            <a:pPr algn="ctr"/>
            <a:endParaRPr lang="en-US" sz="1100" b="0" i="0" u="none" strike="noStrike">
              <a:solidFill>
                <a:srgbClr val="000000"/>
              </a:solidFill>
              <a:latin typeface="Lucida Sans"/>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F9CB46-7FD0-435F-B6D4-48A652108C37}" name="Table5" displayName="Table5" ref="C19:E23" totalsRowShown="0" headerRowDxfId="60" dataDxfId="59">
  <autoFilter ref="C19:E23" xr:uid="{DAF9CB46-7FD0-435F-B6D4-48A652108C37}"/>
  <tableColumns count="3">
    <tableColumn id="1" xr3:uid="{8FB25133-F3E7-48FF-AD5F-D2C8DC625BD8}" name="S/N" dataDxfId="58"/>
    <tableColumn id="2" xr3:uid="{5D3FD1AC-F3AE-443B-AE1C-7228737909C5}" name="Category" dataDxfId="57"/>
    <tableColumn id="3" xr3:uid="{9CC68CEE-7DE2-44A4-A40D-AF7889F39AE4}" name="Examples" dataDxfId="5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5282C3-9BAD-4047-BEE1-D70CB348660F}" name="Income" displayName="Income" ref="C9:C13" totalsRowShown="0" headerRowDxfId="55" dataDxfId="54">
  <autoFilter ref="C9:C13" xr:uid="{7D5282C3-9BAD-4047-BEE1-D70CB348660F}">
    <filterColumn colId="0" hiddenButton="1"/>
  </autoFilter>
  <tableColumns count="1">
    <tableColumn id="1" xr3:uid="{D97D8D7D-30A8-405D-A623-A2A9EE14642C}" name="Income" dataDxfId="53"/>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EE986D-9F65-4F45-85F9-CC732D23A8E4}" name="Expenses" displayName="Expenses" ref="C22:C31" totalsRowShown="0" headerRowDxfId="52" dataDxfId="51">
  <autoFilter ref="C22:C31" xr:uid="{1BEE986D-9F65-4F45-85F9-CC732D23A8E4}">
    <filterColumn colId="0" hiddenButton="1"/>
  </autoFilter>
  <tableColumns count="1">
    <tableColumn id="1" xr3:uid="{46058A46-3C2A-4682-B766-3714D05B6C66}" name="Expenses" dataDxfId="50"/>
  </tableColumns>
  <tableStyleInfo name="Expenses Table Styel"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B83256-AE1F-4514-93F4-E74B7889CDF1}" name="Savings" displayName="Savings" ref="C35:C42" totalsRowShown="0" headerRowDxfId="49" dataDxfId="48">
  <autoFilter ref="C35:C42" xr:uid="{4BB83256-AE1F-4514-93F4-E74B7889CDF1}">
    <filterColumn colId="0" hiddenButton="1"/>
  </autoFilter>
  <tableColumns count="1">
    <tableColumn id="1" xr3:uid="{84C5BF29-EB2F-4140-B2EE-C10E83D427D9}" name="Savings" dataDxfId="47"/>
  </tableColumns>
  <tableStyleInfo name="income Table Style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1DF72D-85BE-4DE1-A368-5F0074B256F5}" name="Tracking" displayName="Tracking" ref="C11:I24" totalsRowShown="0" headerRowDxfId="46" dataDxfId="45">
  <autoFilter ref="C11:I24" xr:uid="{2A1DF72D-85BE-4DE1-A368-5F0074B256F5}"/>
  <sortState xmlns:xlrd2="http://schemas.microsoft.com/office/spreadsheetml/2017/richdata2" ref="C12:I24">
    <sortCondition ref="C11:C24"/>
  </sortState>
  <tableColumns count="7">
    <tableColumn id="1" xr3:uid="{7390968D-DB71-4985-97C2-ABF2FADC3F7E}" name="Date" dataDxfId="44"/>
    <tableColumn id="2" xr3:uid="{52CADA37-79AC-4595-8E85-AF2A4F8F4B7D}" name="Type" dataDxfId="43"/>
    <tableColumn id="3" xr3:uid="{75D3DED0-D5ED-497E-B81C-9F44683F3257}" name="Category" dataDxfId="42"/>
    <tableColumn id="4" xr3:uid="{6A7650BF-9478-443E-BC2B-7957125E4671}" name="Amount" dataDxfId="41" dataCellStyle="Comma"/>
    <tableColumn id="5" xr3:uid="{31822C37-D048-498E-A27A-DA86B1ED343E}" name="Details" dataDxfId="40"/>
    <tableColumn id="6" xr3:uid="{25908D4D-FA90-4BC5-A8FD-2D30A10822A1}" name="Balance" dataDxfId="39" dataCellStyle="Comma">
      <calculatedColumnFormula array="1">SUMPRODUCT(Tracking[Amount], --(Tracking[Date]&lt;=Tracking[[#This Row],[Date]]), (Tracking[Type]&lt;&gt;"Income")*(-1) +(Tracking[Type]="Income"))</calculatedColumnFormula>
    </tableColumn>
    <tableColumn id="7" xr3:uid="{1C70793A-C3E7-407A-AFB1-1CA7B9FA3BC8}" name="Effective Date" dataDxfId="38">
      <calculatedColumnFormula>IF(AND(Tracking[[#This Row],[Type]]="Income", shift_late_income_status="Active", DAY(Tracking[[#This Row],[Date]])&gt;=shift_late_income_starting_day),
    DATE(YEAR(Tracking[[#This Row],[Date]]),MONTH(Tracking[[#This Row],[Date]])+1,1),
     Tracking[[#This Row],[Date]])</calculatedColumnFormula>
    </tableColumn>
  </tableColumns>
  <tableStyleInfo name="Tracking Table Style" showFirstColumn="0" showLastColumn="0" showRowStripes="1" showColumnStripes="0"/>
</table>
</file>

<file path=xl/theme/theme1.xml><?xml version="1.0" encoding="utf-8"?>
<a:theme xmlns:a="http://schemas.openxmlformats.org/drawingml/2006/main" name="Office Theme">
  <a:themeElements>
    <a:clrScheme name="Personal Cash Flow Statement">
      <a:dk1>
        <a:srgbClr val="000000"/>
      </a:dk1>
      <a:lt1>
        <a:srgbClr val="FFFFFF"/>
      </a:lt1>
      <a:dk2>
        <a:srgbClr val="1A1A17"/>
      </a:dk2>
      <a:lt2>
        <a:srgbClr val="FAF7F0"/>
      </a:lt2>
      <a:accent1>
        <a:srgbClr val="E58555"/>
      </a:accent1>
      <a:accent2>
        <a:srgbClr val="62A293"/>
      </a:accent2>
      <a:accent3>
        <a:srgbClr val="F7AF4F"/>
      </a:accent3>
      <a:accent4>
        <a:srgbClr val="A7BD6F"/>
      </a:accent4>
      <a:accent5>
        <a:srgbClr val="D5BD85"/>
      </a:accent5>
      <a:accent6>
        <a:srgbClr val="996B7B"/>
      </a:accent6>
      <a:hlink>
        <a:srgbClr val="A7BD6F"/>
      </a:hlink>
      <a:folHlink>
        <a:srgbClr val="996B7B"/>
      </a:folHlink>
    </a:clrScheme>
    <a:fontScheme name="Custom 68">
      <a:majorFont>
        <a:latin typeface="Cambria"/>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6CC5F-CB14-40B7-8E36-E5951DBCBFF0}">
  <dimension ref="A1:Y26"/>
  <sheetViews>
    <sheetView workbookViewId="0">
      <selection activeCell="E40" sqref="E40"/>
    </sheetView>
  </sheetViews>
  <sheetFormatPr defaultRowHeight="13.8" x14ac:dyDescent="0.25"/>
  <cols>
    <col min="1" max="2" width="3" customWidth="1"/>
    <col min="4" max="4" width="13.6328125" customWidth="1"/>
    <col min="5" max="5" width="22.7265625" customWidth="1"/>
    <col min="7" max="7" width="9.1796875" customWidth="1"/>
    <col min="8" max="8" width="3.1796875" customWidth="1"/>
  </cols>
  <sheetData>
    <row r="1" spans="1:25" x14ac:dyDescent="0.25">
      <c r="A1" s="140" t="s">
        <v>114</v>
      </c>
      <c r="B1" s="141"/>
      <c r="C1" s="141"/>
      <c r="D1" s="141"/>
      <c r="E1" s="141"/>
      <c r="F1" s="141"/>
      <c r="G1" s="141"/>
      <c r="H1" s="3"/>
      <c r="I1" s="3"/>
      <c r="J1" s="3"/>
      <c r="K1" s="3"/>
      <c r="L1" s="3"/>
      <c r="M1" s="3"/>
      <c r="N1" s="3"/>
      <c r="O1" s="3"/>
      <c r="P1" s="3"/>
      <c r="Q1" s="3"/>
      <c r="R1" s="3"/>
      <c r="S1" s="3"/>
      <c r="T1" s="3"/>
      <c r="U1" s="3"/>
      <c r="V1" s="3"/>
      <c r="W1" s="3"/>
      <c r="X1" s="3"/>
      <c r="Y1" s="3"/>
    </row>
    <row r="2" spans="1:25" x14ac:dyDescent="0.25">
      <c r="A2" s="141"/>
      <c r="B2" s="141"/>
      <c r="C2" s="141"/>
      <c r="D2" s="141"/>
      <c r="E2" s="141"/>
      <c r="F2" s="141"/>
      <c r="G2" s="141"/>
      <c r="H2" s="3"/>
      <c r="I2" s="3"/>
      <c r="J2" s="3"/>
      <c r="K2" s="3"/>
      <c r="L2" s="3"/>
      <c r="M2" s="3"/>
      <c r="N2" s="3"/>
      <c r="O2" s="3"/>
      <c r="P2" s="3"/>
      <c r="Q2" s="3"/>
      <c r="R2" s="3"/>
      <c r="S2" s="3"/>
      <c r="T2" s="3"/>
      <c r="U2" s="3"/>
      <c r="V2" s="3"/>
      <c r="W2" s="3"/>
      <c r="X2" s="3"/>
      <c r="Y2" s="3"/>
    </row>
    <row r="3" spans="1:25" x14ac:dyDescent="0.25">
      <c r="A3" s="141"/>
      <c r="B3" s="141"/>
      <c r="C3" s="141"/>
      <c r="D3" s="141"/>
      <c r="E3" s="141"/>
      <c r="F3" s="141"/>
      <c r="G3" s="141"/>
      <c r="H3" s="3"/>
      <c r="I3" s="3"/>
      <c r="J3" s="3"/>
      <c r="K3" s="3"/>
      <c r="L3" s="3"/>
      <c r="M3" s="3"/>
      <c r="N3" s="3"/>
      <c r="O3" s="3"/>
      <c r="P3" s="3"/>
      <c r="Q3" s="3"/>
      <c r="R3" s="3"/>
      <c r="S3" s="3"/>
      <c r="T3" s="3"/>
      <c r="U3" s="3"/>
      <c r="V3" s="3"/>
      <c r="W3" s="3"/>
      <c r="X3" s="3"/>
      <c r="Y3" s="3"/>
    </row>
    <row r="4" spans="1:25" x14ac:dyDescent="0.25">
      <c r="A4" s="3"/>
      <c r="B4" s="3"/>
      <c r="C4" s="3"/>
      <c r="D4" s="3"/>
      <c r="E4" s="3"/>
      <c r="F4" s="3"/>
      <c r="G4" s="3"/>
      <c r="H4" s="3"/>
      <c r="I4" s="3"/>
      <c r="J4" s="3"/>
      <c r="K4" s="3"/>
      <c r="L4" s="3"/>
      <c r="M4" s="3"/>
      <c r="N4" s="3"/>
      <c r="O4" s="3"/>
      <c r="P4" s="3"/>
      <c r="Q4" s="3"/>
      <c r="R4" s="3"/>
      <c r="S4" s="3"/>
      <c r="T4" s="3"/>
      <c r="U4" s="3"/>
      <c r="V4" s="3"/>
      <c r="W4" s="3"/>
      <c r="X4" s="3"/>
      <c r="Y4" s="3"/>
    </row>
    <row r="6" spans="1:25" x14ac:dyDescent="0.25">
      <c r="C6" s="138" t="s">
        <v>122</v>
      </c>
      <c r="D6" s="138"/>
      <c r="E6" s="138"/>
      <c r="F6" s="138"/>
      <c r="G6" s="138"/>
    </row>
    <row r="7" spans="1:25" ht="13.95" customHeight="1" x14ac:dyDescent="0.25">
      <c r="C7" s="137" t="s">
        <v>139</v>
      </c>
      <c r="D7" s="137"/>
      <c r="E7" s="137"/>
      <c r="F7" s="137"/>
      <c r="G7" s="137"/>
      <c r="I7" s="137"/>
      <c r="J7" s="137"/>
      <c r="K7" s="137"/>
      <c r="L7" s="137"/>
      <c r="M7" s="137"/>
    </row>
    <row r="8" spans="1:25" ht="13.95" customHeight="1" x14ac:dyDescent="0.25">
      <c r="C8" s="137"/>
      <c r="D8" s="137"/>
      <c r="E8" s="137"/>
      <c r="F8" s="137"/>
      <c r="G8" s="137"/>
      <c r="I8" s="137"/>
      <c r="J8" s="137"/>
      <c r="K8" s="137"/>
      <c r="L8" s="137"/>
      <c r="M8" s="137"/>
    </row>
    <row r="9" spans="1:25" ht="13.95" customHeight="1" x14ac:dyDescent="0.25">
      <c r="C9" s="137"/>
      <c r="D9" s="137"/>
      <c r="E9" s="137"/>
      <c r="F9" s="137"/>
      <c r="G9" s="137"/>
      <c r="I9" s="137"/>
      <c r="J9" s="137"/>
      <c r="K9" s="137"/>
      <c r="L9" s="137"/>
      <c r="M9" s="137"/>
    </row>
    <row r="12" spans="1:25" ht="13.95" customHeight="1" x14ac:dyDescent="0.25">
      <c r="C12" s="137" t="s">
        <v>138</v>
      </c>
      <c r="D12" s="137"/>
      <c r="E12" s="137"/>
      <c r="F12" s="137"/>
      <c r="G12" s="137"/>
    </row>
    <row r="13" spans="1:25" x14ac:dyDescent="0.25">
      <c r="C13" s="137"/>
      <c r="D13" s="137"/>
      <c r="E13" s="137"/>
      <c r="F13" s="137"/>
      <c r="G13" s="137"/>
    </row>
    <row r="14" spans="1:25" x14ac:dyDescent="0.25">
      <c r="C14" s="137"/>
      <c r="D14" s="137"/>
      <c r="E14" s="137"/>
      <c r="F14" s="137"/>
      <c r="G14" s="137"/>
    </row>
    <row r="15" spans="1:25" x14ac:dyDescent="0.25">
      <c r="C15" s="142"/>
      <c r="D15" s="142"/>
      <c r="E15" s="142"/>
      <c r="F15" s="142"/>
      <c r="G15" s="142"/>
    </row>
    <row r="16" spans="1:25" x14ac:dyDescent="0.25">
      <c r="C16" s="142"/>
      <c r="D16" s="142"/>
      <c r="E16" s="142"/>
      <c r="F16" s="142"/>
      <c r="G16" s="142"/>
    </row>
    <row r="17" spans="3:7" ht="31.2" customHeight="1" x14ac:dyDescent="0.25">
      <c r="C17" s="138"/>
      <c r="D17" s="138"/>
      <c r="E17" s="138"/>
      <c r="F17" s="138"/>
      <c r="G17" s="138"/>
    </row>
    <row r="18" spans="3:7" ht="26.4" customHeight="1" x14ac:dyDescent="0.25">
      <c r="C18" s="139" t="s">
        <v>127</v>
      </c>
      <c r="D18" s="139"/>
      <c r="E18" s="139"/>
      <c r="F18" s="126"/>
    </row>
    <row r="19" spans="3:7" x14ac:dyDescent="0.25">
      <c r="C19" s="46" t="s">
        <v>136</v>
      </c>
      <c r="D19" s="46" t="s">
        <v>26</v>
      </c>
      <c r="E19" s="46" t="s">
        <v>128</v>
      </c>
      <c r="F19" s="125"/>
      <c r="G19" s="125"/>
    </row>
    <row r="20" spans="3:7" ht="41.4" x14ac:dyDescent="0.25">
      <c r="C20" s="121">
        <v>1</v>
      </c>
      <c r="D20" s="133" t="s">
        <v>129</v>
      </c>
      <c r="E20" s="121" t="s">
        <v>130</v>
      </c>
      <c r="F20" s="125"/>
      <c r="G20" s="125"/>
    </row>
    <row r="21" spans="3:7" ht="24.6" customHeight="1" x14ac:dyDescent="0.25">
      <c r="C21" s="121">
        <v>2</v>
      </c>
      <c r="D21" s="121" t="s">
        <v>121</v>
      </c>
      <c r="E21" s="121" t="s">
        <v>131</v>
      </c>
      <c r="F21" s="125"/>
      <c r="G21" s="125"/>
    </row>
    <row r="22" spans="3:7" ht="27.6" x14ac:dyDescent="0.25">
      <c r="C22" s="121">
        <v>3</v>
      </c>
      <c r="D22" s="121" t="s">
        <v>132</v>
      </c>
      <c r="E22" s="121" t="s">
        <v>133</v>
      </c>
      <c r="F22" s="125"/>
      <c r="G22" s="125"/>
    </row>
    <row r="23" spans="3:7" x14ac:dyDescent="0.25">
      <c r="C23" s="121">
        <v>4</v>
      </c>
      <c r="D23" s="121" t="s">
        <v>134</v>
      </c>
      <c r="E23" s="121" t="s">
        <v>135</v>
      </c>
      <c r="F23" s="125"/>
      <c r="G23" s="125"/>
    </row>
    <row r="24" spans="3:7" x14ac:dyDescent="0.25">
      <c r="C24" s="125"/>
      <c r="D24" s="125"/>
      <c r="E24" s="125"/>
      <c r="F24" s="125"/>
      <c r="G24" s="125"/>
    </row>
    <row r="25" spans="3:7" x14ac:dyDescent="0.25">
      <c r="C25" s="138"/>
      <c r="D25" s="138"/>
      <c r="E25" s="138"/>
      <c r="F25" s="138"/>
      <c r="G25" s="138"/>
    </row>
    <row r="26" spans="3:7" ht="13.8" customHeight="1" x14ac:dyDescent="0.25">
      <c r="C26" s="126"/>
      <c r="D26" s="126"/>
      <c r="E26" s="126"/>
      <c r="F26" s="126"/>
      <c r="G26" s="126"/>
    </row>
  </sheetData>
  <mergeCells count="9">
    <mergeCell ref="I7:M9"/>
    <mergeCell ref="C17:G17"/>
    <mergeCell ref="C25:G25"/>
    <mergeCell ref="C18:E18"/>
    <mergeCell ref="A1:G3"/>
    <mergeCell ref="C7:G9"/>
    <mergeCell ref="C12:G14"/>
    <mergeCell ref="C15:G16"/>
    <mergeCell ref="C6:G6"/>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92E6F-1E29-427D-A515-85658991709B}">
  <dimension ref="A1:DK51"/>
  <sheetViews>
    <sheetView zoomScale="89" zoomScaleNormal="89" workbookViewId="0">
      <pane xSplit="4" topLeftCell="E1" activePane="topRight" state="frozen"/>
      <selection pane="topRight" activeCell="K50" sqref="K50"/>
    </sheetView>
  </sheetViews>
  <sheetFormatPr defaultRowHeight="13.8" outlineLevelCol="1" x14ac:dyDescent="0.25"/>
  <cols>
    <col min="1" max="2" width="2.36328125" customWidth="1"/>
    <col min="3" max="3" width="31.54296875" customWidth="1"/>
    <col min="4" max="4" width="1.36328125" customWidth="1"/>
    <col min="5" max="16" width="8.81640625" customWidth="1" outlineLevel="1"/>
    <col min="17" max="17" width="9.81640625" customWidth="1"/>
    <col min="18" max="18" width="1" customWidth="1"/>
    <col min="19" max="30" width="8.81640625" hidden="1" customWidth="1" outlineLevel="1"/>
    <col min="31" max="31" width="8.81640625" collapsed="1"/>
    <col min="32" max="32" width="1" customWidth="1"/>
    <col min="33" max="44" width="0" hidden="1" customWidth="1" outlineLevel="1"/>
    <col min="45" max="45" width="8.81640625" collapsed="1"/>
    <col min="46" max="46" width="1" customWidth="1"/>
    <col min="47" max="58" width="0" hidden="1" customWidth="1" outlineLevel="1"/>
    <col min="59" max="59" width="8.81640625" collapsed="1"/>
    <col min="60" max="60" width="1" customWidth="1"/>
    <col min="61" max="72" width="0" hidden="1" customWidth="1" outlineLevel="1"/>
    <col min="73" max="73" width="8.81640625" collapsed="1"/>
    <col min="74" max="74" width="1" customWidth="1"/>
    <col min="75" max="86" width="0" hidden="1" customWidth="1" outlineLevel="1"/>
    <col min="87" max="87" width="8.81640625" collapsed="1"/>
    <col min="88" max="88" width="1" customWidth="1"/>
    <col min="89" max="100" width="0" hidden="1" customWidth="1" outlineLevel="1"/>
    <col min="101" max="101" width="8.81640625" collapsed="1"/>
    <col min="102" max="102" width="1" customWidth="1"/>
    <col min="103" max="114" width="0" hidden="1" customWidth="1" outlineLevel="1"/>
    <col min="115" max="115" width="8.81640625" collapsed="1"/>
    <col min="116" max="116" width="1" customWidth="1"/>
  </cols>
  <sheetData>
    <row r="1" spans="1:115" x14ac:dyDescent="0.25">
      <c r="A1" s="140" t="s">
        <v>5</v>
      </c>
      <c r="B1" s="144"/>
      <c r="C1" s="144"/>
      <c r="D1" s="144"/>
      <c r="E1" s="1"/>
      <c r="F1" s="1"/>
      <c r="G1" s="1"/>
      <c r="H1" s="1"/>
      <c r="I1" s="1"/>
      <c r="J1" s="1"/>
      <c r="K1" s="1"/>
      <c r="L1" s="1"/>
      <c r="M1" s="1"/>
      <c r="N1" s="1"/>
      <c r="O1" s="1"/>
      <c r="P1" s="1"/>
      <c r="Q1" s="1"/>
      <c r="S1" s="1"/>
      <c r="T1" s="1"/>
      <c r="U1" s="1"/>
      <c r="V1" s="1"/>
      <c r="W1" s="1"/>
      <c r="X1" s="1"/>
      <c r="Y1" s="1"/>
      <c r="Z1" s="1"/>
      <c r="AA1" s="1"/>
      <c r="AB1" s="1"/>
      <c r="AC1" s="1"/>
      <c r="AD1" s="1"/>
      <c r="AE1" s="1"/>
      <c r="AG1" s="1"/>
      <c r="AH1" s="1"/>
      <c r="AI1" s="1"/>
      <c r="AJ1" s="1"/>
      <c r="AK1" s="1"/>
      <c r="AL1" s="1"/>
      <c r="AM1" s="1"/>
      <c r="AN1" s="1"/>
      <c r="AO1" s="1"/>
      <c r="AP1" s="1"/>
      <c r="AQ1" s="1"/>
      <c r="AR1" s="1"/>
      <c r="AS1" s="1"/>
      <c r="AU1" s="1"/>
      <c r="AV1" s="1"/>
      <c r="AW1" s="1"/>
      <c r="AX1" s="1"/>
      <c r="AY1" s="1"/>
      <c r="AZ1" s="1"/>
      <c r="BA1" s="1"/>
      <c r="BB1" s="1"/>
      <c r="BC1" s="1"/>
      <c r="BD1" s="1"/>
      <c r="BE1" s="1"/>
      <c r="BF1" s="1"/>
      <c r="BG1" s="1"/>
      <c r="BI1" s="1"/>
      <c r="BJ1" s="1"/>
      <c r="BK1" s="1"/>
      <c r="BL1" s="1"/>
      <c r="BM1" s="1"/>
      <c r="BN1" s="1"/>
      <c r="BO1" s="1"/>
      <c r="BP1" s="1"/>
      <c r="BQ1" s="1"/>
      <c r="BR1" s="1"/>
      <c r="BS1" s="1"/>
      <c r="BT1" s="1"/>
      <c r="BU1" s="1"/>
      <c r="BW1" s="1"/>
      <c r="BX1" s="1"/>
      <c r="BY1" s="1"/>
      <c r="BZ1" s="1"/>
      <c r="CA1" s="1"/>
      <c r="CB1" s="1"/>
      <c r="CC1" s="1"/>
      <c r="CD1" s="1"/>
      <c r="CE1" s="1"/>
      <c r="CF1" s="1"/>
      <c r="CG1" s="1"/>
      <c r="CH1" s="1"/>
      <c r="CI1" s="1"/>
      <c r="CK1" s="1"/>
      <c r="CL1" s="1"/>
      <c r="CM1" s="1"/>
      <c r="CN1" s="1"/>
      <c r="CO1" s="1"/>
      <c r="CP1" s="1"/>
      <c r="CQ1" s="1"/>
      <c r="CR1" s="1"/>
      <c r="CS1" s="1"/>
      <c r="CT1" s="1"/>
      <c r="CU1" s="1"/>
      <c r="CV1" s="1"/>
      <c r="CW1" s="1"/>
      <c r="CY1" s="1"/>
      <c r="CZ1" s="1"/>
      <c r="DA1" s="1"/>
      <c r="DB1" s="1"/>
      <c r="DC1" s="1"/>
      <c r="DD1" s="1"/>
      <c r="DE1" s="1"/>
      <c r="DF1" s="1"/>
      <c r="DG1" s="1"/>
      <c r="DH1" s="1"/>
      <c r="DI1" s="1"/>
      <c r="DJ1" s="1"/>
      <c r="DK1" s="1"/>
    </row>
    <row r="2" spans="1:115" x14ac:dyDescent="0.25">
      <c r="A2" s="144"/>
      <c r="B2" s="144"/>
      <c r="C2" s="144"/>
      <c r="D2" s="144"/>
      <c r="E2" s="1"/>
      <c r="F2" s="1"/>
      <c r="G2" s="1"/>
      <c r="H2" s="1"/>
      <c r="I2" s="1"/>
      <c r="J2" s="1"/>
      <c r="K2" s="1"/>
      <c r="L2" s="1"/>
      <c r="M2" s="1"/>
      <c r="N2" s="1"/>
      <c r="O2" s="1"/>
      <c r="P2" s="1"/>
      <c r="Q2" s="1"/>
      <c r="S2" s="1"/>
      <c r="T2" s="1"/>
      <c r="U2" s="1"/>
      <c r="V2" s="1"/>
      <c r="W2" s="1"/>
      <c r="X2" s="1"/>
      <c r="Y2" s="1"/>
      <c r="Z2" s="1"/>
      <c r="AA2" s="1"/>
      <c r="AB2" s="1"/>
      <c r="AC2" s="1"/>
      <c r="AD2" s="1"/>
      <c r="AE2" s="1"/>
      <c r="AG2" s="1"/>
      <c r="AH2" s="1"/>
      <c r="AI2" s="1"/>
      <c r="AJ2" s="1"/>
      <c r="AK2" s="1"/>
      <c r="AL2" s="1"/>
      <c r="AM2" s="1"/>
      <c r="AN2" s="1"/>
      <c r="AO2" s="1"/>
      <c r="AP2" s="1"/>
      <c r="AQ2" s="1"/>
      <c r="AR2" s="1"/>
      <c r="AS2" s="1"/>
      <c r="AU2" s="1"/>
      <c r="AV2" s="1"/>
      <c r="AW2" s="1"/>
      <c r="AX2" s="1"/>
      <c r="AY2" s="1"/>
      <c r="AZ2" s="1"/>
      <c r="BA2" s="1"/>
      <c r="BB2" s="1"/>
      <c r="BC2" s="1"/>
      <c r="BD2" s="1"/>
      <c r="BE2" s="1"/>
      <c r="BF2" s="1"/>
      <c r="BG2" s="1"/>
      <c r="BI2" s="1"/>
      <c r="BJ2" s="1"/>
      <c r="BK2" s="1"/>
      <c r="BL2" s="1"/>
      <c r="BM2" s="1"/>
      <c r="BN2" s="1"/>
      <c r="BO2" s="1"/>
      <c r="BP2" s="1"/>
      <c r="BQ2" s="1"/>
      <c r="BR2" s="1"/>
      <c r="BS2" s="1"/>
      <c r="BT2" s="1"/>
      <c r="BU2" s="1"/>
      <c r="BW2" s="1"/>
      <c r="BX2" s="1"/>
      <c r="BY2" s="1"/>
      <c r="BZ2" s="1"/>
      <c r="CA2" s="1"/>
      <c r="CB2" s="1"/>
      <c r="CC2" s="1"/>
      <c r="CD2" s="1"/>
      <c r="CE2" s="1"/>
      <c r="CF2" s="1"/>
      <c r="CG2" s="1"/>
      <c r="CH2" s="1"/>
      <c r="CI2" s="1"/>
      <c r="CK2" s="1"/>
      <c r="CL2" s="1"/>
      <c r="CM2" s="1"/>
      <c r="CN2" s="1"/>
      <c r="CO2" s="1"/>
      <c r="CP2" s="1"/>
      <c r="CQ2" s="1"/>
      <c r="CR2" s="1"/>
      <c r="CS2" s="1"/>
      <c r="CT2" s="1"/>
      <c r="CU2" s="1"/>
      <c r="CV2" s="1"/>
      <c r="CW2" s="1"/>
      <c r="CY2" s="1"/>
      <c r="CZ2" s="1"/>
      <c r="DA2" s="1"/>
      <c r="DB2" s="1"/>
      <c r="DC2" s="1"/>
      <c r="DD2" s="1"/>
      <c r="DE2" s="1"/>
      <c r="DF2" s="1"/>
      <c r="DG2" s="1"/>
      <c r="DH2" s="1"/>
      <c r="DI2" s="1"/>
      <c r="DJ2" s="1"/>
      <c r="DK2" s="1"/>
    </row>
    <row r="3" spans="1:115" ht="13.95" customHeight="1" x14ac:dyDescent="0.25">
      <c r="E3" s="145" t="s">
        <v>123</v>
      </c>
      <c r="F3" s="145"/>
      <c r="G3" s="145"/>
      <c r="H3" s="145"/>
      <c r="I3" s="145"/>
      <c r="J3" s="145"/>
      <c r="K3" s="145"/>
      <c r="L3" s="145"/>
      <c r="M3" s="145"/>
    </row>
    <row r="4" spans="1:115" x14ac:dyDescent="0.25">
      <c r="E4" s="145"/>
      <c r="F4" s="145"/>
      <c r="G4" s="145"/>
      <c r="H4" s="145"/>
      <c r="I4" s="145"/>
      <c r="J4" s="145"/>
      <c r="K4" s="145"/>
      <c r="L4" s="145"/>
      <c r="M4" s="145"/>
    </row>
    <row r="5" spans="1:115" ht="21" customHeight="1" x14ac:dyDescent="0.25">
      <c r="C5" s="10" t="s">
        <v>11</v>
      </c>
      <c r="E5" s="143">
        <f>starting_year</f>
        <v>2025</v>
      </c>
      <c r="F5" s="143"/>
      <c r="G5" s="143"/>
      <c r="H5" s="143"/>
      <c r="I5" s="143"/>
      <c r="J5" s="143"/>
      <c r="K5" s="143"/>
      <c r="L5" s="143"/>
      <c r="M5" s="143"/>
      <c r="N5" s="143"/>
      <c r="O5" s="143"/>
      <c r="P5" s="143"/>
      <c r="Q5" s="143"/>
      <c r="S5" s="143">
        <f>E5+1</f>
        <v>2026</v>
      </c>
      <c r="T5" s="143"/>
      <c r="U5" s="143"/>
      <c r="V5" s="143"/>
      <c r="W5" s="143"/>
      <c r="X5" s="143"/>
      <c r="Y5" s="143"/>
      <c r="Z5" s="143"/>
      <c r="AA5" s="143"/>
      <c r="AB5" s="143"/>
      <c r="AC5" s="143"/>
      <c r="AD5" s="143"/>
      <c r="AE5" s="143"/>
      <c r="AG5" s="143">
        <f t="shared" ref="AG5" si="0">S5+1</f>
        <v>2027</v>
      </c>
      <c r="AH5" s="143"/>
      <c r="AI5" s="143"/>
      <c r="AJ5" s="143"/>
      <c r="AK5" s="143"/>
      <c r="AL5" s="143"/>
      <c r="AM5" s="143"/>
      <c r="AN5" s="143"/>
      <c r="AO5" s="143"/>
      <c r="AP5" s="143"/>
      <c r="AQ5" s="143"/>
      <c r="AR5" s="143"/>
      <c r="AS5" s="143"/>
      <c r="AU5" s="143">
        <f t="shared" ref="AU5" si="1">AG5+1</f>
        <v>2028</v>
      </c>
      <c r="AV5" s="143"/>
      <c r="AW5" s="143"/>
      <c r="AX5" s="143"/>
      <c r="AY5" s="143"/>
      <c r="AZ5" s="143"/>
      <c r="BA5" s="143"/>
      <c r="BB5" s="143"/>
      <c r="BC5" s="143"/>
      <c r="BD5" s="143"/>
      <c r="BE5" s="143"/>
      <c r="BF5" s="143"/>
      <c r="BG5" s="143"/>
      <c r="BI5" s="143">
        <f t="shared" ref="BI5" si="2">AU5+1</f>
        <v>2029</v>
      </c>
      <c r="BJ5" s="143"/>
      <c r="BK5" s="143"/>
      <c r="BL5" s="143"/>
      <c r="BM5" s="143"/>
      <c r="BN5" s="143"/>
      <c r="BO5" s="143"/>
      <c r="BP5" s="143"/>
      <c r="BQ5" s="143"/>
      <c r="BR5" s="143"/>
      <c r="BS5" s="143"/>
      <c r="BT5" s="143"/>
      <c r="BU5" s="143"/>
      <c r="BW5" s="143">
        <f t="shared" ref="BW5" si="3">BI5+1</f>
        <v>2030</v>
      </c>
      <c r="BX5" s="143"/>
      <c r="BY5" s="143"/>
      <c r="BZ5" s="143"/>
      <c r="CA5" s="143"/>
      <c r="CB5" s="143"/>
      <c r="CC5" s="143"/>
      <c r="CD5" s="143"/>
      <c r="CE5" s="143"/>
      <c r="CF5" s="143"/>
      <c r="CG5" s="143"/>
      <c r="CH5" s="143"/>
      <c r="CI5" s="143"/>
      <c r="CK5" s="143">
        <f t="shared" ref="CK5" si="4">BW5+1</f>
        <v>2031</v>
      </c>
      <c r="CL5" s="143"/>
      <c r="CM5" s="143"/>
      <c r="CN5" s="143"/>
      <c r="CO5" s="143"/>
      <c r="CP5" s="143"/>
      <c r="CQ5" s="143"/>
      <c r="CR5" s="143"/>
      <c r="CS5" s="143"/>
      <c r="CT5" s="143"/>
      <c r="CU5" s="143"/>
      <c r="CV5" s="143"/>
      <c r="CW5" s="143"/>
      <c r="CY5" s="143">
        <f t="shared" ref="CY5" si="5">CK5+1</f>
        <v>2032</v>
      </c>
      <c r="CZ5" s="143"/>
      <c r="DA5" s="143"/>
      <c r="DB5" s="143"/>
      <c r="DC5" s="143"/>
      <c r="DD5" s="143"/>
      <c r="DE5" s="143"/>
      <c r="DF5" s="143"/>
      <c r="DG5" s="143"/>
      <c r="DH5" s="143"/>
      <c r="DI5" s="143"/>
      <c r="DJ5" s="143"/>
      <c r="DK5" s="143"/>
    </row>
    <row r="6" spans="1:115" x14ac:dyDescent="0.2">
      <c r="E6" s="27" t="str">
        <f ca="1">IF(E7=0,"Jan ✔","Jan")</f>
        <v>Jan ✔</v>
      </c>
      <c r="F6" s="27" t="str">
        <f ca="1">IF(F7=0,"Feb ✔","Feb")</f>
        <v>Feb ✔</v>
      </c>
      <c r="G6" s="27" t="str">
        <f ca="1">IF(G7=0,"Mar ✔","Mar")</f>
        <v>Mar ✔</v>
      </c>
      <c r="H6" s="27" t="str">
        <f ca="1">IF(H7=0,"Apr ✔","Apr")</f>
        <v>Apr ✔</v>
      </c>
      <c r="I6" s="27" t="str">
        <f ca="1">IF(I7=0,"May ✔","May")</f>
        <v>May ✔</v>
      </c>
      <c r="J6" s="27" t="str">
        <f ca="1">IF(J7=0,"Jun ✔","Jun")</f>
        <v>Jun ✔</v>
      </c>
      <c r="K6" s="27" t="str">
        <f ca="1">IF(K7=0,"Jul ✔","Jul")</f>
        <v>Jul ✔</v>
      </c>
      <c r="L6" s="27" t="str">
        <f ca="1">IF(L7=0,"Aug ✔","Aug")</f>
        <v>Aug ✔</v>
      </c>
      <c r="M6" s="27" t="str">
        <f ca="1">IF(M7=0,"Sep ✔","Sep")</f>
        <v>Sep ✔</v>
      </c>
      <c r="N6" s="27" t="str">
        <f ca="1">IF(N7=0,"Oct ✔","Oct")</f>
        <v>Oct ✔</v>
      </c>
      <c r="O6" s="27" t="str">
        <f ca="1">IF(O7=0,"Nov ✔","Nov")</f>
        <v>Nov ✔</v>
      </c>
      <c r="P6" s="27" t="str">
        <f ca="1">IF(P7=0,"Dec ✔","Dec")</f>
        <v>Dec ✔</v>
      </c>
      <c r="Q6" s="27" t="str">
        <f ca="1">IF(Q7=0,"Total ✔","Total")</f>
        <v>Total ✔</v>
      </c>
      <c r="S6" s="27" t="str">
        <f>IF(S7=0,"Jan ✔","Jan")</f>
        <v>Jan ✔</v>
      </c>
      <c r="T6" s="27" t="str">
        <f ca="1">IF(T7=0,"Feb ✔","Feb")</f>
        <v>Feb ✔</v>
      </c>
      <c r="U6" s="27" t="str">
        <f ca="1">IF(U7=0,"Mar ✔","Mar")</f>
        <v>Mar ✔</v>
      </c>
      <c r="V6" s="27" t="str">
        <f ca="1">IF(V7=0,"Apr ✔","Apr")</f>
        <v>Apr ✔</v>
      </c>
      <c r="W6" s="27" t="str">
        <f ca="1">IF(W7=0,"May ✔","May")</f>
        <v>May ✔</v>
      </c>
      <c r="X6" s="27" t="str">
        <f ca="1">IF(X7=0,"Jun ✔","Jun")</f>
        <v>Jun ✔</v>
      </c>
      <c r="Y6" s="27" t="str">
        <f ca="1">IF(Y7=0,"Jul ✔","Jul")</f>
        <v>Jul ✔</v>
      </c>
      <c r="Z6" s="27" t="str">
        <f ca="1">IF(Z7=0,"Aug ✔","Aug")</f>
        <v>Aug ✔</v>
      </c>
      <c r="AA6" s="27" t="str">
        <f ca="1">IF(AA7=0,"Sep ✔","Sep")</f>
        <v>Sep ✔</v>
      </c>
      <c r="AB6" s="27" t="str">
        <f ca="1">IF(AB7=0,"Oct ✔","Oct")</f>
        <v>Oct ✔</v>
      </c>
      <c r="AC6" s="27" t="str">
        <f ca="1">IF(AC7=0,"Nov ✔","Nov")</f>
        <v>Nov ✔</v>
      </c>
      <c r="AD6" s="27" t="str">
        <f ca="1">IF(AD7=0,"Dec ✔","Dec")</f>
        <v>Dec ✔</v>
      </c>
      <c r="AE6" s="27" t="str">
        <f ca="1">IF(AE7=0,"Total ✔","Total")</f>
        <v>Total ✔</v>
      </c>
      <c r="AG6" s="27" t="str">
        <f t="shared" ref="AG6" si="6">IF(AG7=0,"Jan ✔","Jan")</f>
        <v>Jan ✔</v>
      </c>
      <c r="AH6" s="27" t="str">
        <f t="shared" ref="AH6" ca="1" si="7">IF(AH7=0,"Feb ✔","Feb")</f>
        <v>Feb ✔</v>
      </c>
      <c r="AI6" s="27" t="str">
        <f t="shared" ref="AI6" ca="1" si="8">IF(AI7=0,"Mar ✔","Mar")</f>
        <v>Mar ✔</v>
      </c>
      <c r="AJ6" s="27" t="str">
        <f t="shared" ref="AJ6" ca="1" si="9">IF(AJ7=0,"Apr ✔","Apr")</f>
        <v>Apr ✔</v>
      </c>
      <c r="AK6" s="27" t="str">
        <f t="shared" ref="AK6" ca="1" si="10">IF(AK7=0,"May ✔","May")</f>
        <v>May ✔</v>
      </c>
      <c r="AL6" s="27" t="str">
        <f t="shared" ref="AL6" ca="1" si="11">IF(AL7=0,"Jun ✔","Jun")</f>
        <v>Jun ✔</v>
      </c>
      <c r="AM6" s="27" t="str">
        <f t="shared" ref="AM6" ca="1" si="12">IF(AM7=0,"Jul ✔","Jul")</f>
        <v>Jul ✔</v>
      </c>
      <c r="AN6" s="27" t="str">
        <f t="shared" ref="AN6" ca="1" si="13">IF(AN7=0,"Aug ✔","Aug")</f>
        <v>Aug ✔</v>
      </c>
      <c r="AO6" s="27" t="str">
        <f t="shared" ref="AO6" ca="1" si="14">IF(AO7=0,"Sep ✔","Sep")</f>
        <v>Sep ✔</v>
      </c>
      <c r="AP6" s="27" t="str">
        <f t="shared" ref="AP6" ca="1" si="15">IF(AP7=0,"Oct ✔","Oct")</f>
        <v>Oct ✔</v>
      </c>
      <c r="AQ6" s="27" t="str">
        <f t="shared" ref="AQ6" ca="1" si="16">IF(AQ7=0,"Nov ✔","Nov")</f>
        <v>Nov ✔</v>
      </c>
      <c r="AR6" s="27" t="str">
        <f t="shared" ref="AR6" ca="1" si="17">IF(AR7=0,"Dec ✔","Dec")</f>
        <v>Dec ✔</v>
      </c>
      <c r="AS6" s="27" t="str">
        <f t="shared" ref="AS6" ca="1" si="18">IF(AS7=0,"Total ✔","Total")</f>
        <v>Total ✔</v>
      </c>
      <c r="AU6" s="27" t="str">
        <f t="shared" ref="AU6" si="19">IF(AU7=0,"Jan ✔","Jan")</f>
        <v>Jan ✔</v>
      </c>
      <c r="AV6" s="27" t="str">
        <f t="shared" ref="AV6" ca="1" si="20">IF(AV7=0,"Feb ✔","Feb")</f>
        <v>Feb ✔</v>
      </c>
      <c r="AW6" s="27" t="str">
        <f t="shared" ref="AW6" ca="1" si="21">IF(AW7=0,"Mar ✔","Mar")</f>
        <v>Mar ✔</v>
      </c>
      <c r="AX6" s="27" t="str">
        <f t="shared" ref="AX6" ca="1" si="22">IF(AX7=0,"Apr ✔","Apr")</f>
        <v>Apr ✔</v>
      </c>
      <c r="AY6" s="27" t="str">
        <f t="shared" ref="AY6" ca="1" si="23">IF(AY7=0,"May ✔","May")</f>
        <v>May ✔</v>
      </c>
      <c r="AZ6" s="27" t="str">
        <f t="shared" ref="AZ6" ca="1" si="24">IF(AZ7=0,"Jun ✔","Jun")</f>
        <v>Jun ✔</v>
      </c>
      <c r="BA6" s="27" t="str">
        <f t="shared" ref="BA6" ca="1" si="25">IF(BA7=0,"Jul ✔","Jul")</f>
        <v>Jul ✔</v>
      </c>
      <c r="BB6" s="27" t="str">
        <f t="shared" ref="BB6" ca="1" si="26">IF(BB7=0,"Aug ✔","Aug")</f>
        <v>Aug ✔</v>
      </c>
      <c r="BC6" s="27" t="str">
        <f t="shared" ref="BC6" ca="1" si="27">IF(BC7=0,"Sep ✔","Sep")</f>
        <v>Sep ✔</v>
      </c>
      <c r="BD6" s="27" t="str">
        <f t="shared" ref="BD6" ca="1" si="28">IF(BD7=0,"Oct ✔","Oct")</f>
        <v>Oct ✔</v>
      </c>
      <c r="BE6" s="27" t="str">
        <f t="shared" ref="BE6" ca="1" si="29">IF(BE7=0,"Nov ✔","Nov")</f>
        <v>Nov ✔</v>
      </c>
      <c r="BF6" s="27" t="str">
        <f t="shared" ref="BF6" ca="1" si="30">IF(BF7=0,"Dec ✔","Dec")</f>
        <v>Dec ✔</v>
      </c>
      <c r="BG6" s="27" t="str">
        <f t="shared" ref="BG6" ca="1" si="31">IF(BG7=0,"Total ✔","Total")</f>
        <v>Total ✔</v>
      </c>
      <c r="BI6" s="27" t="str">
        <f t="shared" ref="BI6" si="32">IF(BI7=0,"Jan ✔","Jan")</f>
        <v>Jan ✔</v>
      </c>
      <c r="BJ6" s="27" t="str">
        <f t="shared" ref="BJ6" ca="1" si="33">IF(BJ7=0,"Feb ✔","Feb")</f>
        <v>Feb ✔</v>
      </c>
      <c r="BK6" s="27" t="str">
        <f t="shared" ref="BK6" ca="1" si="34">IF(BK7=0,"Mar ✔","Mar")</f>
        <v>Mar ✔</v>
      </c>
      <c r="BL6" s="27" t="str">
        <f t="shared" ref="BL6" ca="1" si="35">IF(BL7=0,"Apr ✔","Apr")</f>
        <v>Apr ✔</v>
      </c>
      <c r="BM6" s="27" t="str">
        <f t="shared" ref="BM6" ca="1" si="36">IF(BM7=0,"May ✔","May")</f>
        <v>May ✔</v>
      </c>
      <c r="BN6" s="27" t="str">
        <f t="shared" ref="BN6" ca="1" si="37">IF(BN7=0,"Jun ✔","Jun")</f>
        <v>Jun ✔</v>
      </c>
      <c r="BO6" s="27" t="str">
        <f t="shared" ref="BO6" ca="1" si="38">IF(BO7=0,"Jul ✔","Jul")</f>
        <v>Jul ✔</v>
      </c>
      <c r="BP6" s="27" t="str">
        <f t="shared" ref="BP6" ca="1" si="39">IF(BP7=0,"Aug ✔","Aug")</f>
        <v>Aug ✔</v>
      </c>
      <c r="BQ6" s="27" t="str">
        <f t="shared" ref="BQ6" ca="1" si="40">IF(BQ7=0,"Sep ✔","Sep")</f>
        <v>Sep ✔</v>
      </c>
      <c r="BR6" s="27" t="str">
        <f t="shared" ref="BR6" ca="1" si="41">IF(BR7=0,"Oct ✔","Oct")</f>
        <v>Oct ✔</v>
      </c>
      <c r="BS6" s="27" t="str">
        <f t="shared" ref="BS6" ca="1" si="42">IF(BS7=0,"Nov ✔","Nov")</f>
        <v>Nov ✔</v>
      </c>
      <c r="BT6" s="27" t="str">
        <f t="shared" ref="BT6" ca="1" si="43">IF(BT7=0,"Dec ✔","Dec")</f>
        <v>Dec ✔</v>
      </c>
      <c r="BU6" s="27" t="str">
        <f t="shared" ref="BU6" ca="1" si="44">IF(BU7=0,"Total ✔","Total")</f>
        <v>Total ✔</v>
      </c>
      <c r="BW6" s="27" t="str">
        <f t="shared" ref="BW6" si="45">IF(BW7=0,"Jan ✔","Jan")</f>
        <v>Jan ✔</v>
      </c>
      <c r="BX6" s="27" t="str">
        <f t="shared" ref="BX6" ca="1" si="46">IF(BX7=0,"Feb ✔","Feb")</f>
        <v>Feb ✔</v>
      </c>
      <c r="BY6" s="27" t="str">
        <f t="shared" ref="BY6" ca="1" si="47">IF(BY7=0,"Mar ✔","Mar")</f>
        <v>Mar ✔</v>
      </c>
      <c r="BZ6" s="27" t="str">
        <f t="shared" ref="BZ6" ca="1" si="48">IF(BZ7=0,"Apr ✔","Apr")</f>
        <v>Apr ✔</v>
      </c>
      <c r="CA6" s="27" t="str">
        <f t="shared" ref="CA6" ca="1" si="49">IF(CA7=0,"May ✔","May")</f>
        <v>May ✔</v>
      </c>
      <c r="CB6" s="27" t="str">
        <f t="shared" ref="CB6" ca="1" si="50">IF(CB7=0,"Jun ✔","Jun")</f>
        <v>Jun ✔</v>
      </c>
      <c r="CC6" s="27" t="str">
        <f t="shared" ref="CC6" ca="1" si="51">IF(CC7=0,"Jul ✔","Jul")</f>
        <v>Jul ✔</v>
      </c>
      <c r="CD6" s="27" t="str">
        <f t="shared" ref="CD6" ca="1" si="52">IF(CD7=0,"Aug ✔","Aug")</f>
        <v>Aug ✔</v>
      </c>
      <c r="CE6" s="27" t="str">
        <f t="shared" ref="CE6" ca="1" si="53">IF(CE7=0,"Sep ✔","Sep")</f>
        <v>Sep ✔</v>
      </c>
      <c r="CF6" s="27" t="str">
        <f t="shared" ref="CF6" ca="1" si="54">IF(CF7=0,"Oct ✔","Oct")</f>
        <v>Oct ✔</v>
      </c>
      <c r="CG6" s="27" t="str">
        <f t="shared" ref="CG6" ca="1" si="55">IF(CG7=0,"Nov ✔","Nov")</f>
        <v>Nov ✔</v>
      </c>
      <c r="CH6" s="27" t="str">
        <f t="shared" ref="CH6" ca="1" si="56">IF(CH7=0,"Dec ✔","Dec")</f>
        <v>Dec ✔</v>
      </c>
      <c r="CI6" s="27" t="str">
        <f t="shared" ref="CI6" ca="1" si="57">IF(CI7=0,"Total ✔","Total")</f>
        <v>Total ✔</v>
      </c>
      <c r="CK6" s="27" t="str">
        <f t="shared" ref="CK6" si="58">IF(CK7=0,"Jan ✔","Jan")</f>
        <v>Jan ✔</v>
      </c>
      <c r="CL6" s="27" t="str">
        <f t="shared" ref="CL6" ca="1" si="59">IF(CL7=0,"Feb ✔","Feb")</f>
        <v>Feb ✔</v>
      </c>
      <c r="CM6" s="27" t="str">
        <f t="shared" ref="CM6" ca="1" si="60">IF(CM7=0,"Mar ✔","Mar")</f>
        <v>Mar ✔</v>
      </c>
      <c r="CN6" s="27" t="str">
        <f t="shared" ref="CN6" ca="1" si="61">IF(CN7=0,"Apr ✔","Apr")</f>
        <v>Apr ✔</v>
      </c>
      <c r="CO6" s="27" t="str">
        <f t="shared" ref="CO6" ca="1" si="62">IF(CO7=0,"May ✔","May")</f>
        <v>May ✔</v>
      </c>
      <c r="CP6" s="27" t="str">
        <f t="shared" ref="CP6" ca="1" si="63">IF(CP7=0,"Jun ✔","Jun")</f>
        <v>Jun ✔</v>
      </c>
      <c r="CQ6" s="27" t="str">
        <f t="shared" ref="CQ6" ca="1" si="64">IF(CQ7=0,"Jul ✔","Jul")</f>
        <v>Jul ✔</v>
      </c>
      <c r="CR6" s="27" t="str">
        <f t="shared" ref="CR6" ca="1" si="65">IF(CR7=0,"Aug ✔","Aug")</f>
        <v>Aug ✔</v>
      </c>
      <c r="CS6" s="27" t="str">
        <f t="shared" ref="CS6" ca="1" si="66">IF(CS7=0,"Sep ✔","Sep")</f>
        <v>Sep ✔</v>
      </c>
      <c r="CT6" s="27" t="str">
        <f t="shared" ref="CT6" ca="1" si="67">IF(CT7=0,"Oct ✔","Oct")</f>
        <v>Oct ✔</v>
      </c>
      <c r="CU6" s="27" t="str">
        <f t="shared" ref="CU6" ca="1" si="68">IF(CU7=0,"Nov ✔","Nov")</f>
        <v>Nov ✔</v>
      </c>
      <c r="CV6" s="27" t="str">
        <f t="shared" ref="CV6" ca="1" si="69">IF(CV7=0,"Dec ✔","Dec")</f>
        <v>Dec ✔</v>
      </c>
      <c r="CW6" s="27" t="str">
        <f t="shared" ref="CW6" ca="1" si="70">IF(CW7=0,"Total ✔","Total")</f>
        <v>Total ✔</v>
      </c>
      <c r="CY6" s="27" t="str">
        <f t="shared" ref="CY6" si="71">IF(CY7=0,"Jan ✔","Jan")</f>
        <v>Jan ✔</v>
      </c>
      <c r="CZ6" s="27" t="str">
        <f t="shared" ref="CZ6" ca="1" si="72">IF(CZ7=0,"Feb ✔","Feb")</f>
        <v>Feb ✔</v>
      </c>
      <c r="DA6" s="27" t="str">
        <f t="shared" ref="DA6" ca="1" si="73">IF(DA7=0,"Mar ✔","Mar")</f>
        <v>Mar ✔</v>
      </c>
      <c r="DB6" s="27" t="str">
        <f t="shared" ref="DB6" ca="1" si="74">IF(DB7=0,"Apr ✔","Apr")</f>
        <v>Apr ✔</v>
      </c>
      <c r="DC6" s="27" t="str">
        <f t="shared" ref="DC6" ca="1" si="75">IF(DC7=0,"May ✔","May")</f>
        <v>May ✔</v>
      </c>
      <c r="DD6" s="27" t="str">
        <f t="shared" ref="DD6" ca="1" si="76">IF(DD7=0,"Jun ✔","Jun")</f>
        <v>Jun ✔</v>
      </c>
      <c r="DE6" s="27" t="str">
        <f t="shared" ref="DE6" ca="1" si="77">IF(DE7=0,"Jul ✔","Jul")</f>
        <v>Jul ✔</v>
      </c>
      <c r="DF6" s="27" t="str">
        <f t="shared" ref="DF6" ca="1" si="78">IF(DF7=0,"Aug ✔","Aug")</f>
        <v>Aug ✔</v>
      </c>
      <c r="DG6" s="27" t="str">
        <f t="shared" ref="DG6" ca="1" si="79">IF(DG7=0,"Sep ✔","Sep")</f>
        <v>Sep ✔</v>
      </c>
      <c r="DH6" s="27" t="str">
        <f t="shared" ref="DH6" ca="1" si="80">IF(DH7=0,"Oct ✔","Oct")</f>
        <v>Oct ✔</v>
      </c>
      <c r="DI6" s="27" t="str">
        <f t="shared" ref="DI6" ca="1" si="81">IF(DI7=0,"Nov ✔","Nov")</f>
        <v>Nov ✔</v>
      </c>
      <c r="DJ6" s="27" t="str">
        <f t="shared" ref="DJ6" ca="1" si="82">IF(DJ7=0,"Dec ✔","Dec")</f>
        <v>Dec ✔</v>
      </c>
      <c r="DK6" s="27" t="str">
        <f t="shared" ref="DK6" ca="1" si="83">IF(DK7=0,"Total ✔","Total")</f>
        <v>Total ✔</v>
      </c>
    </row>
    <row r="7" spans="1:115" x14ac:dyDescent="0.25">
      <c r="C7" s="25" t="s">
        <v>22</v>
      </c>
      <c r="E7" s="26">
        <f t="shared" ref="E7:Q7" ca="1" si="84">E20-(E33+E46)</f>
        <v>0</v>
      </c>
      <c r="F7" s="26">
        <f t="shared" ca="1" si="84"/>
        <v>0</v>
      </c>
      <c r="G7" s="26">
        <f t="shared" ca="1" si="84"/>
        <v>0</v>
      </c>
      <c r="H7" s="26">
        <f t="shared" ca="1" si="84"/>
        <v>0</v>
      </c>
      <c r="I7" s="26">
        <f t="shared" ca="1" si="84"/>
        <v>0</v>
      </c>
      <c r="J7" s="26">
        <f t="shared" ca="1" si="84"/>
        <v>0</v>
      </c>
      <c r="K7" s="26">
        <f t="shared" ca="1" si="84"/>
        <v>0</v>
      </c>
      <c r="L7" s="26">
        <f t="shared" ca="1" si="84"/>
        <v>0</v>
      </c>
      <c r="M7" s="26">
        <f t="shared" ca="1" si="84"/>
        <v>0</v>
      </c>
      <c r="N7" s="26">
        <f t="shared" ca="1" si="84"/>
        <v>0</v>
      </c>
      <c r="O7" s="26">
        <f t="shared" ca="1" si="84"/>
        <v>0</v>
      </c>
      <c r="P7" s="26">
        <f t="shared" ca="1" si="84"/>
        <v>0</v>
      </c>
      <c r="Q7" s="26">
        <f t="shared" ca="1" si="84"/>
        <v>0</v>
      </c>
      <c r="S7" s="26"/>
      <c r="T7" s="26">
        <f t="shared" ref="T7:AE7" ca="1" si="85">T20-(T33+T46)</f>
        <v>0</v>
      </c>
      <c r="U7" s="26">
        <f t="shared" ca="1" si="85"/>
        <v>0</v>
      </c>
      <c r="V7" s="26">
        <f t="shared" ca="1" si="85"/>
        <v>0</v>
      </c>
      <c r="W7" s="26">
        <f t="shared" ca="1" si="85"/>
        <v>0</v>
      </c>
      <c r="X7" s="26">
        <f t="shared" ca="1" si="85"/>
        <v>0</v>
      </c>
      <c r="Y7" s="26">
        <f t="shared" ca="1" si="85"/>
        <v>0</v>
      </c>
      <c r="Z7" s="26">
        <f t="shared" ca="1" si="85"/>
        <v>0</v>
      </c>
      <c r="AA7" s="26">
        <f t="shared" ca="1" si="85"/>
        <v>0</v>
      </c>
      <c r="AB7" s="26">
        <f t="shared" ca="1" si="85"/>
        <v>0</v>
      </c>
      <c r="AC7" s="26">
        <f t="shared" ca="1" si="85"/>
        <v>0</v>
      </c>
      <c r="AD7" s="26">
        <f t="shared" ca="1" si="85"/>
        <v>0</v>
      </c>
      <c r="AE7" s="26">
        <f t="shared" ca="1" si="85"/>
        <v>0</v>
      </c>
      <c r="AG7" s="26"/>
      <c r="AH7" s="26">
        <f t="shared" ref="AH7:AS7" ca="1" si="86">AH20-(AH33+AH46)</f>
        <v>0</v>
      </c>
      <c r="AI7" s="26">
        <f t="shared" ca="1" si="86"/>
        <v>0</v>
      </c>
      <c r="AJ7" s="26">
        <f t="shared" ca="1" si="86"/>
        <v>0</v>
      </c>
      <c r="AK7" s="26">
        <f t="shared" ca="1" si="86"/>
        <v>0</v>
      </c>
      <c r="AL7" s="26">
        <f t="shared" ca="1" si="86"/>
        <v>0</v>
      </c>
      <c r="AM7" s="26">
        <f t="shared" ca="1" si="86"/>
        <v>0</v>
      </c>
      <c r="AN7" s="26">
        <f t="shared" ca="1" si="86"/>
        <v>0</v>
      </c>
      <c r="AO7" s="26">
        <f t="shared" ca="1" si="86"/>
        <v>0</v>
      </c>
      <c r="AP7" s="26">
        <f t="shared" ca="1" si="86"/>
        <v>0</v>
      </c>
      <c r="AQ7" s="26">
        <f t="shared" ca="1" si="86"/>
        <v>0</v>
      </c>
      <c r="AR7" s="26">
        <f t="shared" ca="1" si="86"/>
        <v>0</v>
      </c>
      <c r="AS7" s="26">
        <f t="shared" ca="1" si="86"/>
        <v>0</v>
      </c>
      <c r="AU7" s="26"/>
      <c r="AV7" s="26">
        <f t="shared" ref="AV7:BG7" ca="1" si="87">AV20-(AV33+AV46)</f>
        <v>0</v>
      </c>
      <c r="AW7" s="26">
        <f t="shared" ca="1" si="87"/>
        <v>0</v>
      </c>
      <c r="AX7" s="26">
        <f t="shared" ca="1" si="87"/>
        <v>0</v>
      </c>
      <c r="AY7" s="26">
        <f t="shared" ca="1" si="87"/>
        <v>0</v>
      </c>
      <c r="AZ7" s="26">
        <f t="shared" ca="1" si="87"/>
        <v>0</v>
      </c>
      <c r="BA7" s="26">
        <f t="shared" ca="1" si="87"/>
        <v>0</v>
      </c>
      <c r="BB7" s="26">
        <f t="shared" ca="1" si="87"/>
        <v>0</v>
      </c>
      <c r="BC7" s="26">
        <f t="shared" ca="1" si="87"/>
        <v>0</v>
      </c>
      <c r="BD7" s="26">
        <f t="shared" ca="1" si="87"/>
        <v>0</v>
      </c>
      <c r="BE7" s="26">
        <f t="shared" ca="1" si="87"/>
        <v>0</v>
      </c>
      <c r="BF7" s="26">
        <f t="shared" ca="1" si="87"/>
        <v>0</v>
      </c>
      <c r="BG7" s="26">
        <f t="shared" ca="1" si="87"/>
        <v>0</v>
      </c>
      <c r="BI7" s="26"/>
      <c r="BJ7" s="26">
        <f t="shared" ref="BJ7:BU7" ca="1" si="88">BJ20-(BJ33+BJ46)</f>
        <v>0</v>
      </c>
      <c r="BK7" s="26">
        <f t="shared" ca="1" si="88"/>
        <v>0</v>
      </c>
      <c r="BL7" s="26">
        <f t="shared" ca="1" si="88"/>
        <v>0</v>
      </c>
      <c r="BM7" s="26">
        <f t="shared" ca="1" si="88"/>
        <v>0</v>
      </c>
      <c r="BN7" s="26">
        <f t="shared" ca="1" si="88"/>
        <v>0</v>
      </c>
      <c r="BO7" s="26">
        <f t="shared" ca="1" si="88"/>
        <v>0</v>
      </c>
      <c r="BP7" s="26">
        <f t="shared" ca="1" si="88"/>
        <v>0</v>
      </c>
      <c r="BQ7" s="26">
        <f t="shared" ca="1" si="88"/>
        <v>0</v>
      </c>
      <c r="BR7" s="26">
        <f t="shared" ca="1" si="88"/>
        <v>0</v>
      </c>
      <c r="BS7" s="26">
        <f t="shared" ca="1" si="88"/>
        <v>0</v>
      </c>
      <c r="BT7" s="26">
        <f t="shared" ca="1" si="88"/>
        <v>0</v>
      </c>
      <c r="BU7" s="26">
        <f t="shared" ca="1" si="88"/>
        <v>0</v>
      </c>
      <c r="BW7" s="26"/>
      <c r="BX7" s="26">
        <f t="shared" ref="BX7:CI7" ca="1" si="89">BX20-(BX33+BX46)</f>
        <v>0</v>
      </c>
      <c r="BY7" s="26">
        <f t="shared" ca="1" si="89"/>
        <v>0</v>
      </c>
      <c r="BZ7" s="26">
        <f t="shared" ca="1" si="89"/>
        <v>0</v>
      </c>
      <c r="CA7" s="26">
        <f t="shared" ca="1" si="89"/>
        <v>0</v>
      </c>
      <c r="CB7" s="26">
        <f t="shared" ca="1" si="89"/>
        <v>0</v>
      </c>
      <c r="CC7" s="26">
        <f t="shared" ca="1" si="89"/>
        <v>0</v>
      </c>
      <c r="CD7" s="26">
        <f t="shared" ca="1" si="89"/>
        <v>0</v>
      </c>
      <c r="CE7" s="26">
        <f t="shared" ca="1" si="89"/>
        <v>0</v>
      </c>
      <c r="CF7" s="26">
        <f t="shared" ca="1" si="89"/>
        <v>0</v>
      </c>
      <c r="CG7" s="26">
        <f t="shared" ca="1" si="89"/>
        <v>0</v>
      </c>
      <c r="CH7" s="26">
        <f t="shared" ca="1" si="89"/>
        <v>0</v>
      </c>
      <c r="CI7" s="26">
        <f t="shared" ca="1" si="89"/>
        <v>0</v>
      </c>
      <c r="CK7" s="26"/>
      <c r="CL7" s="26">
        <f t="shared" ref="CL7:CW7" ca="1" si="90">CL20-(CL33+CL46)</f>
        <v>0</v>
      </c>
      <c r="CM7" s="26">
        <f t="shared" ca="1" si="90"/>
        <v>0</v>
      </c>
      <c r="CN7" s="26">
        <f t="shared" ca="1" si="90"/>
        <v>0</v>
      </c>
      <c r="CO7" s="26">
        <f t="shared" ca="1" si="90"/>
        <v>0</v>
      </c>
      <c r="CP7" s="26">
        <f t="shared" ca="1" si="90"/>
        <v>0</v>
      </c>
      <c r="CQ7" s="26">
        <f t="shared" ca="1" si="90"/>
        <v>0</v>
      </c>
      <c r="CR7" s="26">
        <f t="shared" ca="1" si="90"/>
        <v>0</v>
      </c>
      <c r="CS7" s="26">
        <f t="shared" ca="1" si="90"/>
        <v>0</v>
      </c>
      <c r="CT7" s="26">
        <f t="shared" ca="1" si="90"/>
        <v>0</v>
      </c>
      <c r="CU7" s="26">
        <f t="shared" ca="1" si="90"/>
        <v>0</v>
      </c>
      <c r="CV7" s="26">
        <f t="shared" ca="1" si="90"/>
        <v>0</v>
      </c>
      <c r="CW7" s="26">
        <f t="shared" ca="1" si="90"/>
        <v>0</v>
      </c>
      <c r="CY7" s="26"/>
      <c r="CZ7" s="26">
        <f t="shared" ref="CZ7:DK7" ca="1" si="91">CZ20-(CZ33+CZ46)</f>
        <v>0</v>
      </c>
      <c r="DA7" s="26">
        <f t="shared" ca="1" si="91"/>
        <v>0</v>
      </c>
      <c r="DB7" s="26">
        <f t="shared" ca="1" si="91"/>
        <v>0</v>
      </c>
      <c r="DC7" s="26">
        <f t="shared" ca="1" si="91"/>
        <v>0</v>
      </c>
      <c r="DD7" s="26">
        <f t="shared" ca="1" si="91"/>
        <v>0</v>
      </c>
      <c r="DE7" s="26">
        <f t="shared" ca="1" si="91"/>
        <v>0</v>
      </c>
      <c r="DF7" s="26">
        <f t="shared" ca="1" si="91"/>
        <v>0</v>
      </c>
      <c r="DG7" s="26">
        <f t="shared" ca="1" si="91"/>
        <v>0</v>
      </c>
      <c r="DH7" s="26">
        <f t="shared" ca="1" si="91"/>
        <v>0</v>
      </c>
      <c r="DI7" s="26">
        <f t="shared" ca="1" si="91"/>
        <v>0</v>
      </c>
      <c r="DJ7" s="26">
        <f t="shared" ca="1" si="91"/>
        <v>0</v>
      </c>
      <c r="DK7" s="26">
        <f t="shared" ca="1" si="91"/>
        <v>0</v>
      </c>
    </row>
    <row r="9" spans="1:115" x14ac:dyDescent="0.25">
      <c r="C9" s="11" t="s">
        <v>0</v>
      </c>
      <c r="E9" s="14">
        <f>DATE(E$5,1,1)</f>
        <v>45658</v>
      </c>
      <c r="F9" s="14">
        <f>DATE(E$5,2,1)</f>
        <v>45689</v>
      </c>
      <c r="G9" s="14">
        <f>DATE(E$5,3,1)</f>
        <v>45717</v>
      </c>
      <c r="H9" s="14">
        <f>DATE(E$5,4,1)</f>
        <v>45748</v>
      </c>
      <c r="I9" s="14">
        <f>DATE(E$5,5,1)</f>
        <v>45778</v>
      </c>
      <c r="J9" s="14">
        <f>DATE(E$5,6,1)</f>
        <v>45809</v>
      </c>
      <c r="K9" s="14">
        <f>DATE(E$5,7,1)</f>
        <v>45839</v>
      </c>
      <c r="L9" s="14">
        <f>DATE(E$5,8,1)</f>
        <v>45870</v>
      </c>
      <c r="M9" s="14">
        <f>DATE(E$5,9,1)</f>
        <v>45901</v>
      </c>
      <c r="N9" s="14">
        <f>DATE(E$5,10,1)</f>
        <v>45931</v>
      </c>
      <c r="O9" s="14">
        <f>DATE(E$5,11,1)</f>
        <v>45962</v>
      </c>
      <c r="P9" s="14">
        <f>DATE(E$5,12,1)</f>
        <v>45992</v>
      </c>
      <c r="Q9" s="13">
        <f>$E5</f>
        <v>2025</v>
      </c>
      <c r="S9" s="14">
        <f>DATE(S$5,1,1)</f>
        <v>46023</v>
      </c>
      <c r="T9" s="14">
        <f>DATE(S$5,2,1)</f>
        <v>46054</v>
      </c>
      <c r="U9" s="14">
        <f>DATE(S$5,3,1)</f>
        <v>46082</v>
      </c>
      <c r="V9" s="14">
        <f>DATE(S$5,4,1)</f>
        <v>46113</v>
      </c>
      <c r="W9" s="14">
        <f>DATE(S$5,5,1)</f>
        <v>46143</v>
      </c>
      <c r="X9" s="14">
        <f>DATE(S$5,6,1)</f>
        <v>46174</v>
      </c>
      <c r="Y9" s="14">
        <f>DATE(S$5,7,1)</f>
        <v>46204</v>
      </c>
      <c r="Z9" s="14">
        <f>DATE(S$5,8,1)</f>
        <v>46235</v>
      </c>
      <c r="AA9" s="14">
        <f>DATE(S$5,9,1)</f>
        <v>46266</v>
      </c>
      <c r="AB9" s="14">
        <f>DATE(S$5,10,1)</f>
        <v>46296</v>
      </c>
      <c r="AC9" s="14">
        <f>DATE(S$5,11,1)</f>
        <v>46327</v>
      </c>
      <c r="AD9" s="14">
        <f>DATE(S$5,12,1)</f>
        <v>46357</v>
      </c>
      <c r="AE9" s="13">
        <f>$E5+1</f>
        <v>2026</v>
      </c>
      <c r="AG9" s="14">
        <f t="shared" ref="AG9" si="92">DATE(AG$5,1,1)</f>
        <v>46388</v>
      </c>
      <c r="AH9" s="14">
        <f t="shared" ref="AH9" si="93">DATE(AG$5,2,1)</f>
        <v>46419</v>
      </c>
      <c r="AI9" s="14">
        <f t="shared" ref="AI9" si="94">DATE(AG$5,3,1)</f>
        <v>46447</v>
      </c>
      <c r="AJ9" s="14">
        <f t="shared" ref="AJ9" si="95">DATE(AG$5,4,1)</f>
        <v>46478</v>
      </c>
      <c r="AK9" s="14">
        <f t="shared" ref="AK9" si="96">DATE(AG$5,5,1)</f>
        <v>46508</v>
      </c>
      <c r="AL9" s="14">
        <f t="shared" ref="AL9" si="97">DATE(AG$5,6,1)</f>
        <v>46539</v>
      </c>
      <c r="AM9" s="14">
        <f t="shared" ref="AM9" si="98">DATE(AG$5,7,1)</f>
        <v>46569</v>
      </c>
      <c r="AN9" s="14">
        <f t="shared" ref="AN9" si="99">DATE(AG$5,8,1)</f>
        <v>46600</v>
      </c>
      <c r="AO9" s="14">
        <f t="shared" ref="AO9" si="100">DATE(AG$5,9,1)</f>
        <v>46631</v>
      </c>
      <c r="AP9" s="14">
        <f t="shared" ref="AP9" si="101">DATE(AG$5,10,1)</f>
        <v>46661</v>
      </c>
      <c r="AQ9" s="14">
        <f t="shared" ref="AQ9" si="102">DATE(AG$5,11,1)</f>
        <v>46692</v>
      </c>
      <c r="AR9" s="14">
        <f t="shared" ref="AR9" si="103">DATE(AG$5,12,1)</f>
        <v>46722</v>
      </c>
      <c r="AS9" s="13">
        <f>$E5+2</f>
        <v>2027</v>
      </c>
      <c r="AU9" s="14">
        <f t="shared" ref="AU9" si="104">DATE(AU$5,1,1)</f>
        <v>46753</v>
      </c>
      <c r="AV9" s="14">
        <f t="shared" ref="AV9" si="105">DATE(AU$5,2,1)</f>
        <v>46784</v>
      </c>
      <c r="AW9" s="14">
        <f t="shared" ref="AW9" si="106">DATE(AU$5,3,1)</f>
        <v>46813</v>
      </c>
      <c r="AX9" s="14">
        <f t="shared" ref="AX9" si="107">DATE(AU$5,4,1)</f>
        <v>46844</v>
      </c>
      <c r="AY9" s="14">
        <f t="shared" ref="AY9" si="108">DATE(AU$5,5,1)</f>
        <v>46874</v>
      </c>
      <c r="AZ9" s="14">
        <f t="shared" ref="AZ9" si="109">DATE(AU$5,6,1)</f>
        <v>46905</v>
      </c>
      <c r="BA9" s="14">
        <f t="shared" ref="BA9" si="110">DATE(AU$5,7,1)</f>
        <v>46935</v>
      </c>
      <c r="BB9" s="14">
        <f t="shared" ref="BB9" si="111">DATE(AU$5,8,1)</f>
        <v>46966</v>
      </c>
      <c r="BC9" s="14">
        <f t="shared" ref="BC9" si="112">DATE(AU$5,9,1)</f>
        <v>46997</v>
      </c>
      <c r="BD9" s="14">
        <f t="shared" ref="BD9" si="113">DATE(AU$5,10,1)</f>
        <v>47027</v>
      </c>
      <c r="BE9" s="14">
        <f t="shared" ref="BE9" si="114">DATE(AU$5,11,1)</f>
        <v>47058</v>
      </c>
      <c r="BF9" s="14">
        <f t="shared" ref="BF9" si="115">DATE(AU$5,12,1)</f>
        <v>47088</v>
      </c>
      <c r="BG9" s="13">
        <f>$E5+3</f>
        <v>2028</v>
      </c>
      <c r="BI9" s="14">
        <f t="shared" ref="BI9" si="116">DATE(BI$5,1,1)</f>
        <v>47119</v>
      </c>
      <c r="BJ9" s="14">
        <f t="shared" ref="BJ9" si="117">DATE(BI$5,2,1)</f>
        <v>47150</v>
      </c>
      <c r="BK9" s="14">
        <f t="shared" ref="BK9" si="118">DATE(BI$5,3,1)</f>
        <v>47178</v>
      </c>
      <c r="BL9" s="14">
        <f t="shared" ref="BL9" si="119">DATE(BI$5,4,1)</f>
        <v>47209</v>
      </c>
      <c r="BM9" s="14">
        <f t="shared" ref="BM9" si="120">DATE(BI$5,5,1)</f>
        <v>47239</v>
      </c>
      <c r="BN9" s="14">
        <f t="shared" ref="BN9" si="121">DATE(BI$5,6,1)</f>
        <v>47270</v>
      </c>
      <c r="BO9" s="14">
        <f t="shared" ref="BO9" si="122">DATE(BI$5,7,1)</f>
        <v>47300</v>
      </c>
      <c r="BP9" s="14">
        <f t="shared" ref="BP9" si="123">DATE(BI$5,8,1)</f>
        <v>47331</v>
      </c>
      <c r="BQ9" s="14">
        <f t="shared" ref="BQ9" si="124">DATE(BI$5,9,1)</f>
        <v>47362</v>
      </c>
      <c r="BR9" s="14">
        <f t="shared" ref="BR9" si="125">DATE(BI$5,10,1)</f>
        <v>47392</v>
      </c>
      <c r="BS9" s="14">
        <f t="shared" ref="BS9" si="126">DATE(BI$5,11,1)</f>
        <v>47423</v>
      </c>
      <c r="BT9" s="14">
        <f t="shared" ref="BT9" si="127">DATE(BI$5,12,1)</f>
        <v>47453</v>
      </c>
      <c r="BU9" s="13">
        <f>$E5+4</f>
        <v>2029</v>
      </c>
      <c r="BW9" s="14">
        <f t="shared" ref="BW9" si="128">DATE(BW$5,1,1)</f>
        <v>47484</v>
      </c>
      <c r="BX9" s="14">
        <f t="shared" ref="BX9" si="129">DATE(BW$5,2,1)</f>
        <v>47515</v>
      </c>
      <c r="BY9" s="14">
        <f t="shared" ref="BY9" si="130">DATE(BW$5,3,1)</f>
        <v>47543</v>
      </c>
      <c r="BZ9" s="14">
        <f t="shared" ref="BZ9" si="131">DATE(BW$5,4,1)</f>
        <v>47574</v>
      </c>
      <c r="CA9" s="14">
        <f t="shared" ref="CA9" si="132">DATE(BW$5,5,1)</f>
        <v>47604</v>
      </c>
      <c r="CB9" s="14">
        <f t="shared" ref="CB9" si="133">DATE(BW$5,6,1)</f>
        <v>47635</v>
      </c>
      <c r="CC9" s="14">
        <f t="shared" ref="CC9" si="134">DATE(BW$5,7,1)</f>
        <v>47665</v>
      </c>
      <c r="CD9" s="14">
        <f t="shared" ref="CD9" si="135">DATE(BW$5,8,1)</f>
        <v>47696</v>
      </c>
      <c r="CE9" s="14">
        <f t="shared" ref="CE9" si="136">DATE(BW$5,9,1)</f>
        <v>47727</v>
      </c>
      <c r="CF9" s="14">
        <f t="shared" ref="CF9" si="137">DATE(BW$5,10,1)</f>
        <v>47757</v>
      </c>
      <c r="CG9" s="14">
        <f t="shared" ref="CG9" si="138">DATE(BW$5,11,1)</f>
        <v>47788</v>
      </c>
      <c r="CH9" s="14">
        <f t="shared" ref="CH9" si="139">DATE(BW$5,12,1)</f>
        <v>47818</v>
      </c>
      <c r="CI9" s="13">
        <f>$E5+5</f>
        <v>2030</v>
      </c>
      <c r="CK9" s="14">
        <f t="shared" ref="CK9" si="140">DATE(CK$5,1,1)</f>
        <v>47849</v>
      </c>
      <c r="CL9" s="14">
        <f t="shared" ref="CL9" si="141">DATE(CK$5,2,1)</f>
        <v>47880</v>
      </c>
      <c r="CM9" s="14">
        <f t="shared" ref="CM9" si="142">DATE(CK$5,3,1)</f>
        <v>47908</v>
      </c>
      <c r="CN9" s="14">
        <f t="shared" ref="CN9" si="143">DATE(CK$5,4,1)</f>
        <v>47939</v>
      </c>
      <c r="CO9" s="14">
        <f t="shared" ref="CO9" si="144">DATE(CK$5,5,1)</f>
        <v>47969</v>
      </c>
      <c r="CP9" s="14">
        <f t="shared" ref="CP9" si="145">DATE(CK$5,6,1)</f>
        <v>48000</v>
      </c>
      <c r="CQ9" s="14">
        <f t="shared" ref="CQ9" si="146">DATE(CK$5,7,1)</f>
        <v>48030</v>
      </c>
      <c r="CR9" s="14">
        <f t="shared" ref="CR9" si="147">DATE(CK$5,8,1)</f>
        <v>48061</v>
      </c>
      <c r="CS9" s="14">
        <f t="shared" ref="CS9" si="148">DATE(CK$5,9,1)</f>
        <v>48092</v>
      </c>
      <c r="CT9" s="14">
        <f t="shared" ref="CT9" si="149">DATE(CK$5,10,1)</f>
        <v>48122</v>
      </c>
      <c r="CU9" s="14">
        <f t="shared" ref="CU9" si="150">DATE(CK$5,11,1)</f>
        <v>48153</v>
      </c>
      <c r="CV9" s="14">
        <f t="shared" ref="CV9" si="151">DATE(CK$5,12,1)</f>
        <v>48183</v>
      </c>
      <c r="CW9" s="13">
        <f>$E5+6</f>
        <v>2031</v>
      </c>
      <c r="CY9" s="14">
        <f t="shared" ref="CY9" si="152">DATE(CY$5,1,1)</f>
        <v>48214</v>
      </c>
      <c r="CZ9" s="14">
        <f t="shared" ref="CZ9" si="153">DATE(CY$5,2,1)</f>
        <v>48245</v>
      </c>
      <c r="DA9" s="14">
        <f t="shared" ref="DA9" si="154">DATE(CY$5,3,1)</f>
        <v>48274</v>
      </c>
      <c r="DB9" s="14">
        <f t="shared" ref="DB9" si="155">DATE(CY$5,4,1)</f>
        <v>48305</v>
      </c>
      <c r="DC9" s="14">
        <f t="shared" ref="DC9" si="156">DATE(CY$5,5,1)</f>
        <v>48335</v>
      </c>
      <c r="DD9" s="14">
        <f t="shared" ref="DD9" si="157">DATE(CY$5,6,1)</f>
        <v>48366</v>
      </c>
      <c r="DE9" s="14">
        <f t="shared" ref="DE9" si="158">DATE(CY$5,7,1)</f>
        <v>48396</v>
      </c>
      <c r="DF9" s="14">
        <f t="shared" ref="DF9" si="159">DATE(CY$5,8,1)</f>
        <v>48427</v>
      </c>
      <c r="DG9" s="14">
        <f t="shared" ref="DG9" si="160">DATE(CY$5,9,1)</f>
        <v>48458</v>
      </c>
      <c r="DH9" s="14">
        <f t="shared" ref="DH9" si="161">DATE(CY$5,10,1)</f>
        <v>48488</v>
      </c>
      <c r="DI9" s="14">
        <f t="shared" ref="DI9" si="162">DATE(CY$5,11,1)</f>
        <v>48519</v>
      </c>
      <c r="DJ9" s="14">
        <f t="shared" ref="DJ9" si="163">DATE(CY$5,12,1)</f>
        <v>48549</v>
      </c>
      <c r="DK9" s="13">
        <f>$E5+7</f>
        <v>2032</v>
      </c>
    </row>
    <row r="10" spans="1:115" x14ac:dyDescent="0.25">
      <c r="C10" s="15" t="s">
        <v>13</v>
      </c>
      <c r="D10" s="16"/>
      <c r="E10" s="17">
        <v>3500</v>
      </c>
      <c r="F10" s="17">
        <v>3900</v>
      </c>
      <c r="G10" s="17">
        <v>2000</v>
      </c>
      <c r="H10" s="17">
        <v>2000</v>
      </c>
      <c r="I10" s="17">
        <v>2000</v>
      </c>
      <c r="J10" s="17">
        <v>2000</v>
      </c>
      <c r="K10" s="17">
        <v>2000</v>
      </c>
      <c r="L10" s="17">
        <v>2000</v>
      </c>
      <c r="M10" s="17">
        <v>2000</v>
      </c>
      <c r="N10" s="17">
        <v>2000</v>
      </c>
      <c r="O10" s="17">
        <v>2000</v>
      </c>
      <c r="P10" s="17">
        <v>2000</v>
      </c>
      <c r="Q10" s="20">
        <f t="shared" ref="Q10:Q18" si="164">SUM(E10:P10)</f>
        <v>27400</v>
      </c>
      <c r="S10" s="17"/>
      <c r="T10" s="17"/>
      <c r="U10" s="17"/>
      <c r="V10" s="17"/>
      <c r="W10" s="17"/>
      <c r="X10" s="17"/>
      <c r="Y10" s="17"/>
      <c r="Z10" s="17"/>
      <c r="AA10" s="17"/>
      <c r="AB10" s="17"/>
      <c r="AC10" s="17"/>
      <c r="AD10" s="17"/>
      <c r="AE10" s="20">
        <f t="shared" ref="AE10:AE19" si="165">SUM(S10:AD10)</f>
        <v>0</v>
      </c>
      <c r="AG10" s="17"/>
      <c r="AH10" s="17"/>
      <c r="AI10" s="17"/>
      <c r="AJ10" s="17"/>
      <c r="AK10" s="17"/>
      <c r="AL10" s="17"/>
      <c r="AM10" s="17"/>
      <c r="AN10" s="17"/>
      <c r="AO10" s="17"/>
      <c r="AP10" s="17"/>
      <c r="AQ10" s="17"/>
      <c r="AR10" s="17"/>
      <c r="AS10" s="20">
        <f t="shared" ref="AS10:AS19" si="166">SUM(AG10:AR10)</f>
        <v>0</v>
      </c>
      <c r="AU10" s="17"/>
      <c r="AV10" s="17"/>
      <c r="AW10" s="17"/>
      <c r="AX10" s="17"/>
      <c r="AY10" s="17"/>
      <c r="AZ10" s="17"/>
      <c r="BA10" s="17"/>
      <c r="BB10" s="17"/>
      <c r="BC10" s="17"/>
      <c r="BD10" s="17"/>
      <c r="BE10" s="17"/>
      <c r="BF10" s="17"/>
      <c r="BG10" s="20">
        <f t="shared" ref="BG10:BG19" si="167">SUM(AU10:BF10)</f>
        <v>0</v>
      </c>
      <c r="BI10" s="17"/>
      <c r="BJ10" s="17"/>
      <c r="BK10" s="17"/>
      <c r="BL10" s="17"/>
      <c r="BM10" s="17"/>
      <c r="BN10" s="17"/>
      <c r="BO10" s="17"/>
      <c r="BP10" s="17"/>
      <c r="BQ10" s="17"/>
      <c r="BR10" s="17"/>
      <c r="BS10" s="17"/>
      <c r="BT10" s="17"/>
      <c r="BU10" s="20">
        <f t="shared" ref="BU10:BU19" si="168">SUM(BI10:BT10)</f>
        <v>0</v>
      </c>
      <c r="BW10" s="17"/>
      <c r="BX10" s="17"/>
      <c r="BY10" s="17"/>
      <c r="BZ10" s="17"/>
      <c r="CA10" s="17"/>
      <c r="CB10" s="17"/>
      <c r="CC10" s="17"/>
      <c r="CD10" s="17"/>
      <c r="CE10" s="17"/>
      <c r="CF10" s="17"/>
      <c r="CG10" s="17"/>
      <c r="CH10" s="17"/>
      <c r="CI10" s="20">
        <f t="shared" ref="CI10:CI19" si="169">SUM(BW10:CH10)</f>
        <v>0</v>
      </c>
      <c r="CK10" s="17"/>
      <c r="CL10" s="17"/>
      <c r="CM10" s="17"/>
      <c r="CN10" s="17"/>
      <c r="CO10" s="17"/>
      <c r="CP10" s="17"/>
      <c r="CQ10" s="17"/>
      <c r="CR10" s="17"/>
      <c r="CS10" s="17"/>
      <c r="CT10" s="17"/>
      <c r="CU10" s="17"/>
      <c r="CV10" s="17"/>
      <c r="CW10" s="20">
        <f t="shared" ref="CW10:CW19" si="170">SUM(CK10:CV10)</f>
        <v>0</v>
      </c>
      <c r="CY10" s="17"/>
      <c r="CZ10" s="17"/>
      <c r="DA10" s="17"/>
      <c r="DB10" s="17"/>
      <c r="DC10" s="17"/>
      <c r="DD10" s="17"/>
      <c r="DE10" s="17"/>
      <c r="DF10" s="17"/>
      <c r="DG10" s="17"/>
      <c r="DH10" s="17"/>
      <c r="DI10" s="17"/>
      <c r="DJ10" s="17"/>
      <c r="DK10" s="20">
        <f t="shared" ref="DK10:DK19" si="171">SUM(CY10:DJ10)</f>
        <v>0</v>
      </c>
    </row>
    <row r="11" spans="1:115" x14ac:dyDescent="0.25">
      <c r="C11" s="15" t="s">
        <v>23</v>
      </c>
      <c r="D11" s="16"/>
      <c r="E11" s="17">
        <v>200</v>
      </c>
      <c r="F11" s="17">
        <v>200</v>
      </c>
      <c r="G11" s="17">
        <v>200</v>
      </c>
      <c r="H11" s="17">
        <v>200</v>
      </c>
      <c r="I11" s="17">
        <v>200</v>
      </c>
      <c r="J11" s="17">
        <v>200</v>
      </c>
      <c r="K11" s="17">
        <v>200</v>
      </c>
      <c r="L11" s="17">
        <v>200</v>
      </c>
      <c r="M11" s="17">
        <v>200</v>
      </c>
      <c r="N11" s="17">
        <v>200</v>
      </c>
      <c r="O11" s="17">
        <v>200</v>
      </c>
      <c r="P11" s="17">
        <v>200</v>
      </c>
      <c r="Q11" s="20">
        <f t="shared" si="164"/>
        <v>2400</v>
      </c>
      <c r="S11" s="17"/>
      <c r="T11" s="17"/>
      <c r="U11" s="17"/>
      <c r="V11" s="17"/>
      <c r="W11" s="17"/>
      <c r="X11" s="17"/>
      <c r="Y11" s="17"/>
      <c r="Z11" s="17"/>
      <c r="AA11" s="17"/>
      <c r="AB11" s="17"/>
      <c r="AC11" s="17"/>
      <c r="AD11" s="17"/>
      <c r="AE11" s="20">
        <f t="shared" si="165"/>
        <v>0</v>
      </c>
      <c r="AG11" s="17"/>
      <c r="AH11" s="17"/>
      <c r="AI11" s="17"/>
      <c r="AJ11" s="17"/>
      <c r="AK11" s="17"/>
      <c r="AL11" s="17"/>
      <c r="AM11" s="17"/>
      <c r="AN11" s="17"/>
      <c r="AO11" s="17"/>
      <c r="AP11" s="17"/>
      <c r="AQ11" s="17"/>
      <c r="AR11" s="17"/>
      <c r="AS11" s="20">
        <f t="shared" si="166"/>
        <v>0</v>
      </c>
      <c r="AU11" s="17"/>
      <c r="AV11" s="17"/>
      <c r="AW11" s="17"/>
      <c r="AX11" s="17"/>
      <c r="AY11" s="17"/>
      <c r="AZ11" s="17"/>
      <c r="BA11" s="17"/>
      <c r="BB11" s="17"/>
      <c r="BC11" s="17"/>
      <c r="BD11" s="17"/>
      <c r="BE11" s="17"/>
      <c r="BF11" s="17"/>
      <c r="BG11" s="20">
        <f t="shared" si="167"/>
        <v>0</v>
      </c>
      <c r="BI11" s="17"/>
      <c r="BJ11" s="17"/>
      <c r="BK11" s="17"/>
      <c r="BL11" s="17"/>
      <c r="BM11" s="17"/>
      <c r="BN11" s="17"/>
      <c r="BO11" s="17"/>
      <c r="BP11" s="17"/>
      <c r="BQ11" s="17"/>
      <c r="BR11" s="17"/>
      <c r="BS11" s="17"/>
      <c r="BT11" s="17"/>
      <c r="BU11" s="20">
        <f t="shared" si="168"/>
        <v>0</v>
      </c>
      <c r="BW11" s="17"/>
      <c r="BX11" s="17"/>
      <c r="BY11" s="17"/>
      <c r="BZ11" s="17"/>
      <c r="CA11" s="17"/>
      <c r="CB11" s="17"/>
      <c r="CC11" s="17"/>
      <c r="CD11" s="17"/>
      <c r="CE11" s="17"/>
      <c r="CF11" s="17"/>
      <c r="CG11" s="17"/>
      <c r="CH11" s="17"/>
      <c r="CI11" s="20">
        <f t="shared" si="169"/>
        <v>0</v>
      </c>
      <c r="CK11" s="17"/>
      <c r="CL11" s="17"/>
      <c r="CM11" s="17"/>
      <c r="CN11" s="17"/>
      <c r="CO11" s="17"/>
      <c r="CP11" s="17"/>
      <c r="CQ11" s="17"/>
      <c r="CR11" s="17"/>
      <c r="CS11" s="17"/>
      <c r="CT11" s="17"/>
      <c r="CU11" s="17"/>
      <c r="CV11" s="17"/>
      <c r="CW11" s="20">
        <f t="shared" si="170"/>
        <v>0</v>
      </c>
      <c r="CY11" s="17"/>
      <c r="CZ11" s="17"/>
      <c r="DA11" s="17"/>
      <c r="DB11" s="17"/>
      <c r="DC11" s="17"/>
      <c r="DD11" s="17"/>
      <c r="DE11" s="17"/>
      <c r="DF11" s="17"/>
      <c r="DG11" s="17"/>
      <c r="DH11" s="17"/>
      <c r="DI11" s="17"/>
      <c r="DJ11" s="17"/>
      <c r="DK11" s="20">
        <f t="shared" si="171"/>
        <v>0</v>
      </c>
    </row>
    <row r="12" spans="1:115" x14ac:dyDescent="0.25">
      <c r="C12" s="15" t="s">
        <v>24</v>
      </c>
      <c r="D12" s="16"/>
      <c r="E12" s="17">
        <v>100</v>
      </c>
      <c r="F12" s="17">
        <v>500</v>
      </c>
      <c r="G12" s="17">
        <v>500</v>
      </c>
      <c r="H12" s="17">
        <v>500</v>
      </c>
      <c r="I12" s="17">
        <v>500</v>
      </c>
      <c r="J12" s="17">
        <v>500</v>
      </c>
      <c r="K12" s="17">
        <v>500</v>
      </c>
      <c r="L12" s="17">
        <v>500</v>
      </c>
      <c r="M12" s="17">
        <v>500</v>
      </c>
      <c r="N12" s="17">
        <v>500</v>
      </c>
      <c r="O12" s="17">
        <v>500</v>
      </c>
      <c r="P12" s="17">
        <v>500</v>
      </c>
      <c r="Q12" s="20">
        <f t="shared" si="164"/>
        <v>5600</v>
      </c>
      <c r="S12" s="17"/>
      <c r="T12" s="17"/>
      <c r="U12" s="17"/>
      <c r="V12" s="17"/>
      <c r="W12" s="17"/>
      <c r="X12" s="17"/>
      <c r="Y12" s="17"/>
      <c r="Z12" s="17"/>
      <c r="AA12" s="17"/>
      <c r="AB12" s="17"/>
      <c r="AC12" s="17"/>
      <c r="AD12" s="17"/>
      <c r="AE12" s="20">
        <f t="shared" si="165"/>
        <v>0</v>
      </c>
      <c r="AG12" s="17"/>
      <c r="AH12" s="17"/>
      <c r="AI12" s="17"/>
      <c r="AJ12" s="17"/>
      <c r="AK12" s="17"/>
      <c r="AL12" s="17"/>
      <c r="AM12" s="17"/>
      <c r="AN12" s="17"/>
      <c r="AO12" s="17"/>
      <c r="AP12" s="17"/>
      <c r="AQ12" s="17"/>
      <c r="AR12" s="17"/>
      <c r="AS12" s="20">
        <f t="shared" si="166"/>
        <v>0</v>
      </c>
      <c r="AU12" s="17"/>
      <c r="AV12" s="17"/>
      <c r="AW12" s="17"/>
      <c r="AX12" s="17"/>
      <c r="AY12" s="17"/>
      <c r="AZ12" s="17"/>
      <c r="BA12" s="17"/>
      <c r="BB12" s="17"/>
      <c r="BC12" s="17"/>
      <c r="BD12" s="17"/>
      <c r="BE12" s="17"/>
      <c r="BF12" s="17"/>
      <c r="BG12" s="20">
        <f t="shared" si="167"/>
        <v>0</v>
      </c>
      <c r="BI12" s="17"/>
      <c r="BJ12" s="17"/>
      <c r="BK12" s="17"/>
      <c r="BL12" s="17"/>
      <c r="BM12" s="17"/>
      <c r="BN12" s="17"/>
      <c r="BO12" s="17"/>
      <c r="BP12" s="17"/>
      <c r="BQ12" s="17"/>
      <c r="BR12" s="17"/>
      <c r="BS12" s="17"/>
      <c r="BT12" s="17"/>
      <c r="BU12" s="20">
        <f t="shared" si="168"/>
        <v>0</v>
      </c>
      <c r="BW12" s="17"/>
      <c r="BX12" s="17"/>
      <c r="BY12" s="17"/>
      <c r="BZ12" s="17"/>
      <c r="CA12" s="17"/>
      <c r="CB12" s="17"/>
      <c r="CC12" s="17"/>
      <c r="CD12" s="17"/>
      <c r="CE12" s="17"/>
      <c r="CF12" s="17"/>
      <c r="CG12" s="17"/>
      <c r="CH12" s="17"/>
      <c r="CI12" s="20">
        <f t="shared" si="169"/>
        <v>0</v>
      </c>
      <c r="CK12" s="17"/>
      <c r="CL12" s="17"/>
      <c r="CM12" s="17"/>
      <c r="CN12" s="17"/>
      <c r="CO12" s="17"/>
      <c r="CP12" s="17"/>
      <c r="CQ12" s="17"/>
      <c r="CR12" s="17"/>
      <c r="CS12" s="17"/>
      <c r="CT12" s="17"/>
      <c r="CU12" s="17"/>
      <c r="CV12" s="17"/>
      <c r="CW12" s="20">
        <f t="shared" si="170"/>
        <v>0</v>
      </c>
      <c r="CY12" s="17"/>
      <c r="CZ12" s="17"/>
      <c r="DA12" s="17"/>
      <c r="DB12" s="17"/>
      <c r="DC12" s="17"/>
      <c r="DD12" s="17"/>
      <c r="DE12" s="17"/>
      <c r="DF12" s="17"/>
      <c r="DG12" s="17"/>
      <c r="DH12" s="17"/>
      <c r="DI12" s="17"/>
      <c r="DJ12" s="17"/>
      <c r="DK12" s="20">
        <f t="shared" si="171"/>
        <v>0</v>
      </c>
    </row>
    <row r="13" spans="1:115" x14ac:dyDescent="0.25">
      <c r="C13" s="15" t="s">
        <v>14</v>
      </c>
      <c r="D13" s="16"/>
      <c r="E13" s="17"/>
      <c r="F13" s="17"/>
      <c r="G13" s="17"/>
      <c r="H13" s="17"/>
      <c r="I13" s="17"/>
      <c r="J13" s="17"/>
      <c r="K13" s="17"/>
      <c r="L13" s="17"/>
      <c r="M13" s="17"/>
      <c r="N13" s="17"/>
      <c r="O13" s="17"/>
      <c r="P13" s="17"/>
      <c r="Q13" s="20">
        <f t="shared" si="164"/>
        <v>0</v>
      </c>
      <c r="S13" s="17"/>
      <c r="T13" s="17"/>
      <c r="U13" s="17"/>
      <c r="V13" s="17"/>
      <c r="W13" s="17"/>
      <c r="X13" s="17"/>
      <c r="Y13" s="17"/>
      <c r="Z13" s="17"/>
      <c r="AA13" s="17"/>
      <c r="AB13" s="17"/>
      <c r="AC13" s="17"/>
      <c r="AD13" s="17"/>
      <c r="AE13" s="20">
        <f t="shared" si="165"/>
        <v>0</v>
      </c>
      <c r="AG13" s="17"/>
      <c r="AH13" s="17"/>
      <c r="AI13" s="17"/>
      <c r="AJ13" s="17"/>
      <c r="AK13" s="17"/>
      <c r="AL13" s="17"/>
      <c r="AM13" s="17"/>
      <c r="AN13" s="17"/>
      <c r="AO13" s="17"/>
      <c r="AP13" s="17"/>
      <c r="AQ13" s="17"/>
      <c r="AR13" s="17"/>
      <c r="AS13" s="20">
        <f t="shared" si="166"/>
        <v>0</v>
      </c>
      <c r="AU13" s="17"/>
      <c r="AV13" s="17"/>
      <c r="AW13" s="17"/>
      <c r="AX13" s="17"/>
      <c r="AY13" s="17"/>
      <c r="AZ13" s="17"/>
      <c r="BA13" s="17"/>
      <c r="BB13" s="17"/>
      <c r="BC13" s="17"/>
      <c r="BD13" s="17"/>
      <c r="BE13" s="17"/>
      <c r="BF13" s="17"/>
      <c r="BG13" s="20">
        <f t="shared" si="167"/>
        <v>0</v>
      </c>
      <c r="BI13" s="17"/>
      <c r="BJ13" s="17"/>
      <c r="BK13" s="17"/>
      <c r="BL13" s="17"/>
      <c r="BM13" s="17"/>
      <c r="BN13" s="17"/>
      <c r="BO13" s="17"/>
      <c r="BP13" s="17"/>
      <c r="BQ13" s="17"/>
      <c r="BR13" s="17"/>
      <c r="BS13" s="17"/>
      <c r="BT13" s="17"/>
      <c r="BU13" s="20">
        <f t="shared" si="168"/>
        <v>0</v>
      </c>
      <c r="BW13" s="17"/>
      <c r="BX13" s="17"/>
      <c r="BY13" s="17"/>
      <c r="BZ13" s="17"/>
      <c r="CA13" s="17"/>
      <c r="CB13" s="17"/>
      <c r="CC13" s="17"/>
      <c r="CD13" s="17"/>
      <c r="CE13" s="17"/>
      <c r="CF13" s="17"/>
      <c r="CG13" s="17"/>
      <c r="CH13" s="17"/>
      <c r="CI13" s="20">
        <f t="shared" si="169"/>
        <v>0</v>
      </c>
      <c r="CK13" s="17"/>
      <c r="CL13" s="17"/>
      <c r="CM13" s="17"/>
      <c r="CN13" s="17"/>
      <c r="CO13" s="17"/>
      <c r="CP13" s="17"/>
      <c r="CQ13" s="17"/>
      <c r="CR13" s="17"/>
      <c r="CS13" s="17"/>
      <c r="CT13" s="17"/>
      <c r="CU13" s="17"/>
      <c r="CV13" s="17"/>
      <c r="CW13" s="20">
        <f t="shared" si="170"/>
        <v>0</v>
      </c>
      <c r="CY13" s="17"/>
      <c r="CZ13" s="17"/>
      <c r="DA13" s="17"/>
      <c r="DB13" s="17"/>
      <c r="DC13" s="17"/>
      <c r="DD13" s="17"/>
      <c r="DE13" s="17"/>
      <c r="DF13" s="17"/>
      <c r="DG13" s="17"/>
      <c r="DH13" s="17"/>
      <c r="DI13" s="17"/>
      <c r="DJ13" s="17"/>
      <c r="DK13" s="20">
        <f t="shared" si="171"/>
        <v>0</v>
      </c>
    </row>
    <row r="14" spans="1:115" hidden="1" x14ac:dyDescent="0.25">
      <c r="C14" s="15" t="s">
        <v>12</v>
      </c>
      <c r="D14" s="16"/>
      <c r="E14" s="17"/>
      <c r="F14" s="17"/>
      <c r="G14" s="17"/>
      <c r="H14" s="17"/>
      <c r="I14" s="17"/>
      <c r="J14" s="17"/>
      <c r="K14" s="17"/>
      <c r="L14" s="17"/>
      <c r="M14" s="17"/>
      <c r="N14" s="17"/>
      <c r="O14" s="17"/>
      <c r="P14" s="17"/>
      <c r="Q14" s="20">
        <f t="shared" si="164"/>
        <v>0</v>
      </c>
      <c r="S14" s="17"/>
      <c r="T14" s="17"/>
      <c r="U14" s="17"/>
      <c r="V14" s="17"/>
      <c r="W14" s="17"/>
      <c r="X14" s="17"/>
      <c r="Y14" s="17"/>
      <c r="Z14" s="17"/>
      <c r="AA14" s="17"/>
      <c r="AB14" s="17"/>
      <c r="AC14" s="17"/>
      <c r="AD14" s="17"/>
      <c r="AE14" s="20">
        <f t="shared" si="165"/>
        <v>0</v>
      </c>
      <c r="AG14" s="17"/>
      <c r="AH14" s="17"/>
      <c r="AI14" s="17"/>
      <c r="AJ14" s="17"/>
      <c r="AK14" s="17"/>
      <c r="AL14" s="17"/>
      <c r="AM14" s="17"/>
      <c r="AN14" s="17"/>
      <c r="AO14" s="17"/>
      <c r="AP14" s="17"/>
      <c r="AQ14" s="17"/>
      <c r="AR14" s="17"/>
      <c r="AS14" s="20">
        <f t="shared" si="166"/>
        <v>0</v>
      </c>
      <c r="AU14" s="17"/>
      <c r="AV14" s="17"/>
      <c r="AW14" s="17"/>
      <c r="AX14" s="17"/>
      <c r="AY14" s="17"/>
      <c r="AZ14" s="17"/>
      <c r="BA14" s="17"/>
      <c r="BB14" s="17"/>
      <c r="BC14" s="17"/>
      <c r="BD14" s="17"/>
      <c r="BE14" s="17"/>
      <c r="BF14" s="17"/>
      <c r="BG14" s="20">
        <f t="shared" si="167"/>
        <v>0</v>
      </c>
      <c r="BI14" s="17"/>
      <c r="BJ14" s="17"/>
      <c r="BK14" s="17"/>
      <c r="BL14" s="17"/>
      <c r="BM14" s="17"/>
      <c r="BN14" s="17"/>
      <c r="BO14" s="17"/>
      <c r="BP14" s="17"/>
      <c r="BQ14" s="17"/>
      <c r="BR14" s="17"/>
      <c r="BS14" s="17"/>
      <c r="BT14" s="17"/>
      <c r="BU14" s="20">
        <f t="shared" si="168"/>
        <v>0</v>
      </c>
      <c r="BW14" s="17"/>
      <c r="BX14" s="17"/>
      <c r="BY14" s="17"/>
      <c r="BZ14" s="17"/>
      <c r="CA14" s="17"/>
      <c r="CB14" s="17"/>
      <c r="CC14" s="17"/>
      <c r="CD14" s="17"/>
      <c r="CE14" s="17"/>
      <c r="CF14" s="17"/>
      <c r="CG14" s="17"/>
      <c r="CH14" s="17"/>
      <c r="CI14" s="20">
        <f t="shared" si="169"/>
        <v>0</v>
      </c>
      <c r="CK14" s="17"/>
      <c r="CL14" s="17"/>
      <c r="CM14" s="17"/>
      <c r="CN14" s="17"/>
      <c r="CO14" s="17"/>
      <c r="CP14" s="17"/>
      <c r="CQ14" s="17"/>
      <c r="CR14" s="17"/>
      <c r="CS14" s="17"/>
      <c r="CT14" s="17"/>
      <c r="CU14" s="17"/>
      <c r="CV14" s="17"/>
      <c r="CW14" s="20">
        <f t="shared" si="170"/>
        <v>0</v>
      </c>
      <c r="CY14" s="17"/>
      <c r="CZ14" s="17"/>
      <c r="DA14" s="17"/>
      <c r="DB14" s="17"/>
      <c r="DC14" s="17"/>
      <c r="DD14" s="17"/>
      <c r="DE14" s="17"/>
      <c r="DF14" s="17"/>
      <c r="DG14" s="17"/>
      <c r="DH14" s="17"/>
      <c r="DI14" s="17"/>
      <c r="DJ14" s="17"/>
      <c r="DK14" s="20">
        <f t="shared" si="171"/>
        <v>0</v>
      </c>
    </row>
    <row r="15" spans="1:115" hidden="1" x14ac:dyDescent="0.25">
      <c r="C15" s="15" t="s">
        <v>12</v>
      </c>
      <c r="D15" s="16"/>
      <c r="E15" s="17"/>
      <c r="F15" s="17"/>
      <c r="G15" s="17"/>
      <c r="H15" s="17"/>
      <c r="I15" s="17"/>
      <c r="J15" s="18"/>
      <c r="K15" s="17"/>
      <c r="L15" s="17"/>
      <c r="M15" s="17"/>
      <c r="N15" s="17"/>
      <c r="O15" s="17"/>
      <c r="P15" s="17"/>
      <c r="Q15" s="20">
        <f t="shared" si="164"/>
        <v>0</v>
      </c>
      <c r="S15" s="17"/>
      <c r="T15" s="17"/>
      <c r="U15" s="17"/>
      <c r="V15" s="17"/>
      <c r="W15" s="17"/>
      <c r="X15" s="18"/>
      <c r="Y15" s="17"/>
      <c r="Z15" s="17"/>
      <c r="AA15" s="17"/>
      <c r="AB15" s="17"/>
      <c r="AC15" s="17"/>
      <c r="AD15" s="17"/>
      <c r="AE15" s="20">
        <f t="shared" si="165"/>
        <v>0</v>
      </c>
      <c r="AG15" s="17"/>
      <c r="AH15" s="17"/>
      <c r="AI15" s="17"/>
      <c r="AJ15" s="17"/>
      <c r="AK15" s="17"/>
      <c r="AL15" s="18"/>
      <c r="AM15" s="17"/>
      <c r="AN15" s="17"/>
      <c r="AO15" s="17"/>
      <c r="AP15" s="17"/>
      <c r="AQ15" s="17"/>
      <c r="AR15" s="17"/>
      <c r="AS15" s="20">
        <f t="shared" si="166"/>
        <v>0</v>
      </c>
      <c r="AU15" s="17"/>
      <c r="AV15" s="17"/>
      <c r="AW15" s="17"/>
      <c r="AX15" s="17"/>
      <c r="AY15" s="17"/>
      <c r="AZ15" s="18"/>
      <c r="BA15" s="17"/>
      <c r="BB15" s="17"/>
      <c r="BC15" s="17"/>
      <c r="BD15" s="17"/>
      <c r="BE15" s="17"/>
      <c r="BF15" s="17"/>
      <c r="BG15" s="20">
        <f t="shared" si="167"/>
        <v>0</v>
      </c>
      <c r="BI15" s="17"/>
      <c r="BJ15" s="17"/>
      <c r="BK15" s="17"/>
      <c r="BL15" s="17"/>
      <c r="BM15" s="17"/>
      <c r="BN15" s="18"/>
      <c r="BO15" s="17"/>
      <c r="BP15" s="17"/>
      <c r="BQ15" s="17"/>
      <c r="BR15" s="17"/>
      <c r="BS15" s="17"/>
      <c r="BT15" s="17"/>
      <c r="BU15" s="20">
        <f t="shared" si="168"/>
        <v>0</v>
      </c>
      <c r="BW15" s="17"/>
      <c r="BX15" s="17"/>
      <c r="BY15" s="17"/>
      <c r="BZ15" s="17"/>
      <c r="CA15" s="17"/>
      <c r="CB15" s="18"/>
      <c r="CC15" s="17"/>
      <c r="CD15" s="17"/>
      <c r="CE15" s="17"/>
      <c r="CF15" s="17"/>
      <c r="CG15" s="17"/>
      <c r="CH15" s="17"/>
      <c r="CI15" s="20">
        <f t="shared" si="169"/>
        <v>0</v>
      </c>
      <c r="CK15" s="17"/>
      <c r="CL15" s="17"/>
      <c r="CM15" s="17"/>
      <c r="CN15" s="17"/>
      <c r="CO15" s="17"/>
      <c r="CP15" s="18"/>
      <c r="CQ15" s="17"/>
      <c r="CR15" s="17"/>
      <c r="CS15" s="17"/>
      <c r="CT15" s="17"/>
      <c r="CU15" s="17"/>
      <c r="CV15" s="17"/>
      <c r="CW15" s="20">
        <f t="shared" si="170"/>
        <v>0</v>
      </c>
      <c r="CY15" s="17"/>
      <c r="CZ15" s="17"/>
      <c r="DA15" s="17"/>
      <c r="DB15" s="17"/>
      <c r="DC15" s="17"/>
      <c r="DD15" s="18"/>
      <c r="DE15" s="17"/>
      <c r="DF15" s="17"/>
      <c r="DG15" s="17"/>
      <c r="DH15" s="17"/>
      <c r="DI15" s="17"/>
      <c r="DJ15" s="17"/>
      <c r="DK15" s="20">
        <f t="shared" si="171"/>
        <v>0</v>
      </c>
    </row>
    <row r="16" spans="1:115" hidden="1" x14ac:dyDescent="0.25">
      <c r="C16" s="15" t="s">
        <v>12</v>
      </c>
      <c r="D16" s="16"/>
      <c r="E16" s="17"/>
      <c r="F16" s="17"/>
      <c r="G16" s="17"/>
      <c r="H16" s="17"/>
      <c r="I16" s="17"/>
      <c r="J16" s="17"/>
      <c r="K16" s="17"/>
      <c r="L16" s="17"/>
      <c r="M16" s="17"/>
      <c r="N16" s="17"/>
      <c r="O16" s="17"/>
      <c r="P16" s="17"/>
      <c r="Q16" s="20">
        <f t="shared" si="164"/>
        <v>0</v>
      </c>
      <c r="S16" s="17"/>
      <c r="T16" s="17"/>
      <c r="U16" s="17"/>
      <c r="V16" s="17"/>
      <c r="W16" s="17"/>
      <c r="X16" s="17"/>
      <c r="Y16" s="17"/>
      <c r="Z16" s="17"/>
      <c r="AA16" s="17"/>
      <c r="AB16" s="17"/>
      <c r="AC16" s="17"/>
      <c r="AD16" s="17"/>
      <c r="AE16" s="20">
        <f t="shared" si="165"/>
        <v>0</v>
      </c>
      <c r="AG16" s="17"/>
      <c r="AH16" s="17"/>
      <c r="AI16" s="17"/>
      <c r="AJ16" s="17"/>
      <c r="AK16" s="17"/>
      <c r="AL16" s="17"/>
      <c r="AM16" s="17"/>
      <c r="AN16" s="17"/>
      <c r="AO16" s="17"/>
      <c r="AP16" s="17"/>
      <c r="AQ16" s="17"/>
      <c r="AR16" s="17"/>
      <c r="AS16" s="20">
        <f t="shared" si="166"/>
        <v>0</v>
      </c>
      <c r="AU16" s="17"/>
      <c r="AV16" s="17"/>
      <c r="AW16" s="17"/>
      <c r="AX16" s="17"/>
      <c r="AY16" s="17"/>
      <c r="AZ16" s="17"/>
      <c r="BA16" s="17"/>
      <c r="BB16" s="17"/>
      <c r="BC16" s="17"/>
      <c r="BD16" s="17"/>
      <c r="BE16" s="17"/>
      <c r="BF16" s="17"/>
      <c r="BG16" s="20">
        <f t="shared" si="167"/>
        <v>0</v>
      </c>
      <c r="BI16" s="17"/>
      <c r="BJ16" s="17"/>
      <c r="BK16" s="17"/>
      <c r="BL16" s="17"/>
      <c r="BM16" s="17"/>
      <c r="BN16" s="17"/>
      <c r="BO16" s="17"/>
      <c r="BP16" s="17"/>
      <c r="BQ16" s="17"/>
      <c r="BR16" s="17"/>
      <c r="BS16" s="17"/>
      <c r="BT16" s="17"/>
      <c r="BU16" s="20">
        <f t="shared" si="168"/>
        <v>0</v>
      </c>
      <c r="BW16" s="17"/>
      <c r="BX16" s="17"/>
      <c r="BY16" s="17"/>
      <c r="BZ16" s="17"/>
      <c r="CA16" s="17"/>
      <c r="CB16" s="17"/>
      <c r="CC16" s="17"/>
      <c r="CD16" s="17"/>
      <c r="CE16" s="17"/>
      <c r="CF16" s="17"/>
      <c r="CG16" s="17"/>
      <c r="CH16" s="17"/>
      <c r="CI16" s="20">
        <f t="shared" si="169"/>
        <v>0</v>
      </c>
      <c r="CK16" s="17"/>
      <c r="CL16" s="17"/>
      <c r="CM16" s="17"/>
      <c r="CN16" s="17"/>
      <c r="CO16" s="17"/>
      <c r="CP16" s="17"/>
      <c r="CQ16" s="17"/>
      <c r="CR16" s="17"/>
      <c r="CS16" s="17"/>
      <c r="CT16" s="17"/>
      <c r="CU16" s="17"/>
      <c r="CV16" s="17"/>
      <c r="CW16" s="20">
        <f t="shared" si="170"/>
        <v>0</v>
      </c>
      <c r="CY16" s="17"/>
      <c r="CZ16" s="17"/>
      <c r="DA16" s="17"/>
      <c r="DB16" s="17"/>
      <c r="DC16" s="17"/>
      <c r="DD16" s="17"/>
      <c r="DE16" s="17"/>
      <c r="DF16" s="17"/>
      <c r="DG16" s="17"/>
      <c r="DH16" s="17"/>
      <c r="DI16" s="17"/>
      <c r="DJ16" s="17"/>
      <c r="DK16" s="20">
        <f t="shared" si="171"/>
        <v>0</v>
      </c>
    </row>
    <row r="17" spans="3:115" hidden="1" x14ac:dyDescent="0.25">
      <c r="C17" s="15" t="s">
        <v>12</v>
      </c>
      <c r="D17" s="16"/>
      <c r="E17" s="17"/>
      <c r="F17" s="17"/>
      <c r="G17" s="17"/>
      <c r="H17" s="17"/>
      <c r="I17" s="17"/>
      <c r="J17" s="17"/>
      <c r="K17" s="17"/>
      <c r="L17" s="17"/>
      <c r="M17" s="17"/>
      <c r="N17" s="17"/>
      <c r="O17" s="17"/>
      <c r="P17" s="17"/>
      <c r="Q17" s="20">
        <f t="shared" si="164"/>
        <v>0</v>
      </c>
      <c r="S17" s="17"/>
      <c r="T17" s="17"/>
      <c r="U17" s="17"/>
      <c r="V17" s="17"/>
      <c r="W17" s="17"/>
      <c r="X17" s="17"/>
      <c r="Y17" s="17"/>
      <c r="Z17" s="17"/>
      <c r="AA17" s="17"/>
      <c r="AB17" s="17"/>
      <c r="AC17" s="17"/>
      <c r="AD17" s="17"/>
      <c r="AE17" s="20">
        <f t="shared" si="165"/>
        <v>0</v>
      </c>
      <c r="AG17" s="17"/>
      <c r="AH17" s="17"/>
      <c r="AI17" s="17"/>
      <c r="AJ17" s="17"/>
      <c r="AK17" s="17"/>
      <c r="AL17" s="17"/>
      <c r="AM17" s="17"/>
      <c r="AN17" s="17"/>
      <c r="AO17" s="17"/>
      <c r="AP17" s="17"/>
      <c r="AQ17" s="17"/>
      <c r="AR17" s="17"/>
      <c r="AS17" s="20">
        <f t="shared" si="166"/>
        <v>0</v>
      </c>
      <c r="AU17" s="17"/>
      <c r="AV17" s="17"/>
      <c r="AW17" s="17"/>
      <c r="AX17" s="17"/>
      <c r="AY17" s="17"/>
      <c r="AZ17" s="17"/>
      <c r="BA17" s="17"/>
      <c r="BB17" s="17"/>
      <c r="BC17" s="17"/>
      <c r="BD17" s="17"/>
      <c r="BE17" s="17"/>
      <c r="BF17" s="17"/>
      <c r="BG17" s="20">
        <f t="shared" si="167"/>
        <v>0</v>
      </c>
      <c r="BI17" s="17"/>
      <c r="BJ17" s="17"/>
      <c r="BK17" s="17"/>
      <c r="BL17" s="17"/>
      <c r="BM17" s="17"/>
      <c r="BN17" s="17"/>
      <c r="BO17" s="17"/>
      <c r="BP17" s="17"/>
      <c r="BQ17" s="17"/>
      <c r="BR17" s="17"/>
      <c r="BS17" s="17"/>
      <c r="BT17" s="17"/>
      <c r="BU17" s="20">
        <f t="shared" si="168"/>
        <v>0</v>
      </c>
      <c r="BW17" s="17"/>
      <c r="BX17" s="17"/>
      <c r="BY17" s="17"/>
      <c r="BZ17" s="17"/>
      <c r="CA17" s="17"/>
      <c r="CB17" s="17"/>
      <c r="CC17" s="17"/>
      <c r="CD17" s="17"/>
      <c r="CE17" s="17"/>
      <c r="CF17" s="17"/>
      <c r="CG17" s="17"/>
      <c r="CH17" s="17"/>
      <c r="CI17" s="20">
        <f t="shared" si="169"/>
        <v>0</v>
      </c>
      <c r="CK17" s="17"/>
      <c r="CL17" s="17"/>
      <c r="CM17" s="17"/>
      <c r="CN17" s="17"/>
      <c r="CO17" s="17"/>
      <c r="CP17" s="17"/>
      <c r="CQ17" s="17"/>
      <c r="CR17" s="17"/>
      <c r="CS17" s="17"/>
      <c r="CT17" s="17"/>
      <c r="CU17" s="17"/>
      <c r="CV17" s="17"/>
      <c r="CW17" s="20">
        <f t="shared" si="170"/>
        <v>0</v>
      </c>
      <c r="CY17" s="17"/>
      <c r="CZ17" s="17"/>
      <c r="DA17" s="17"/>
      <c r="DB17" s="17"/>
      <c r="DC17" s="17"/>
      <c r="DD17" s="17"/>
      <c r="DE17" s="17"/>
      <c r="DF17" s="17"/>
      <c r="DG17" s="17"/>
      <c r="DH17" s="17"/>
      <c r="DI17" s="17"/>
      <c r="DJ17" s="17"/>
      <c r="DK17" s="20">
        <f t="shared" si="171"/>
        <v>0</v>
      </c>
    </row>
    <row r="18" spans="3:115" hidden="1" x14ac:dyDescent="0.25">
      <c r="C18" s="15" t="s">
        <v>12</v>
      </c>
      <c r="D18" s="16"/>
      <c r="E18" s="17"/>
      <c r="F18" s="17"/>
      <c r="G18" s="17"/>
      <c r="H18" s="17"/>
      <c r="I18" s="17"/>
      <c r="J18" s="17"/>
      <c r="K18" s="17"/>
      <c r="L18" s="17"/>
      <c r="M18" s="17"/>
      <c r="N18" s="17"/>
      <c r="O18" s="17"/>
      <c r="P18" s="17"/>
      <c r="Q18" s="20">
        <f t="shared" si="164"/>
        <v>0</v>
      </c>
      <c r="S18" s="17"/>
      <c r="T18" s="17"/>
      <c r="U18" s="17"/>
      <c r="V18" s="17"/>
      <c r="W18" s="17"/>
      <c r="X18" s="17"/>
      <c r="Y18" s="17"/>
      <c r="Z18" s="17"/>
      <c r="AA18" s="17"/>
      <c r="AB18" s="17"/>
      <c r="AC18" s="17"/>
      <c r="AD18" s="17"/>
      <c r="AE18" s="20">
        <f t="shared" si="165"/>
        <v>0</v>
      </c>
      <c r="AG18" s="17"/>
      <c r="AH18" s="17"/>
      <c r="AI18" s="17"/>
      <c r="AJ18" s="17"/>
      <c r="AK18" s="17"/>
      <c r="AL18" s="17"/>
      <c r="AM18" s="17"/>
      <c r="AN18" s="17"/>
      <c r="AO18" s="17"/>
      <c r="AP18" s="17"/>
      <c r="AQ18" s="17"/>
      <c r="AR18" s="17"/>
      <c r="AS18" s="20">
        <f t="shared" si="166"/>
        <v>0</v>
      </c>
      <c r="AU18" s="17"/>
      <c r="AV18" s="17"/>
      <c r="AW18" s="17"/>
      <c r="AX18" s="17"/>
      <c r="AY18" s="17"/>
      <c r="AZ18" s="17"/>
      <c r="BA18" s="17"/>
      <c r="BB18" s="17"/>
      <c r="BC18" s="17"/>
      <c r="BD18" s="17"/>
      <c r="BE18" s="17"/>
      <c r="BF18" s="17"/>
      <c r="BG18" s="20">
        <f t="shared" si="167"/>
        <v>0</v>
      </c>
      <c r="BI18" s="17"/>
      <c r="BJ18" s="17"/>
      <c r="BK18" s="17"/>
      <c r="BL18" s="17"/>
      <c r="BM18" s="17"/>
      <c r="BN18" s="17"/>
      <c r="BO18" s="17"/>
      <c r="BP18" s="17"/>
      <c r="BQ18" s="17"/>
      <c r="BR18" s="17"/>
      <c r="BS18" s="17"/>
      <c r="BT18" s="17"/>
      <c r="BU18" s="20">
        <f t="shared" si="168"/>
        <v>0</v>
      </c>
      <c r="BW18" s="17"/>
      <c r="BX18" s="17"/>
      <c r="BY18" s="17"/>
      <c r="BZ18" s="17"/>
      <c r="CA18" s="17"/>
      <c r="CB18" s="17"/>
      <c r="CC18" s="17"/>
      <c r="CD18" s="17"/>
      <c r="CE18" s="17"/>
      <c r="CF18" s="17"/>
      <c r="CG18" s="17"/>
      <c r="CH18" s="17"/>
      <c r="CI18" s="20">
        <f t="shared" si="169"/>
        <v>0</v>
      </c>
      <c r="CK18" s="17"/>
      <c r="CL18" s="17"/>
      <c r="CM18" s="17"/>
      <c r="CN18" s="17"/>
      <c r="CO18" s="17"/>
      <c r="CP18" s="17"/>
      <c r="CQ18" s="17"/>
      <c r="CR18" s="17"/>
      <c r="CS18" s="17"/>
      <c r="CT18" s="17"/>
      <c r="CU18" s="17"/>
      <c r="CV18" s="17"/>
      <c r="CW18" s="20">
        <f t="shared" si="170"/>
        <v>0</v>
      </c>
      <c r="CY18" s="17"/>
      <c r="CZ18" s="17"/>
      <c r="DA18" s="17"/>
      <c r="DB18" s="17"/>
      <c r="DC18" s="17"/>
      <c r="DD18" s="17"/>
      <c r="DE18" s="17"/>
      <c r="DF18" s="17"/>
      <c r="DG18" s="17"/>
      <c r="DH18" s="17"/>
      <c r="DI18" s="17"/>
      <c r="DJ18" s="17"/>
      <c r="DK18" s="20">
        <f t="shared" si="171"/>
        <v>0</v>
      </c>
    </row>
    <row r="19" spans="3:115" x14ac:dyDescent="0.25">
      <c r="C19" s="15" t="s">
        <v>12</v>
      </c>
      <c r="D19" s="16"/>
      <c r="E19" s="17"/>
      <c r="F19" s="17"/>
      <c r="G19" s="17"/>
      <c r="H19" s="17"/>
      <c r="I19" s="17"/>
      <c r="J19" s="17"/>
      <c r="K19" s="17"/>
      <c r="L19" s="17"/>
      <c r="M19" s="17"/>
      <c r="N19" s="17"/>
      <c r="O19" s="17"/>
      <c r="P19" s="17"/>
      <c r="Q19" s="20">
        <f>SUM(E19:P19)</f>
        <v>0</v>
      </c>
      <c r="S19" s="17"/>
      <c r="T19" s="17"/>
      <c r="U19" s="17"/>
      <c r="V19" s="17"/>
      <c r="W19" s="17"/>
      <c r="X19" s="17"/>
      <c r="Y19" s="17"/>
      <c r="Z19" s="17"/>
      <c r="AA19" s="17"/>
      <c r="AB19" s="17"/>
      <c r="AC19" s="17"/>
      <c r="AD19" s="17"/>
      <c r="AE19" s="20">
        <f t="shared" si="165"/>
        <v>0</v>
      </c>
      <c r="AG19" s="17"/>
      <c r="AH19" s="17"/>
      <c r="AI19" s="17"/>
      <c r="AJ19" s="17"/>
      <c r="AK19" s="17"/>
      <c r="AL19" s="17"/>
      <c r="AM19" s="17"/>
      <c r="AN19" s="17"/>
      <c r="AO19" s="17"/>
      <c r="AP19" s="17"/>
      <c r="AQ19" s="17"/>
      <c r="AR19" s="17"/>
      <c r="AS19" s="20">
        <f t="shared" si="166"/>
        <v>0</v>
      </c>
      <c r="AU19" s="17"/>
      <c r="AV19" s="17"/>
      <c r="AW19" s="17"/>
      <c r="AX19" s="17"/>
      <c r="AY19" s="17"/>
      <c r="AZ19" s="17"/>
      <c r="BA19" s="17"/>
      <c r="BB19" s="17"/>
      <c r="BC19" s="17"/>
      <c r="BD19" s="17"/>
      <c r="BE19" s="17"/>
      <c r="BF19" s="17"/>
      <c r="BG19" s="20">
        <f t="shared" si="167"/>
        <v>0</v>
      </c>
      <c r="BI19" s="17"/>
      <c r="BJ19" s="17"/>
      <c r="BK19" s="17"/>
      <c r="BL19" s="17"/>
      <c r="BM19" s="17"/>
      <c r="BN19" s="17"/>
      <c r="BO19" s="17"/>
      <c r="BP19" s="17"/>
      <c r="BQ19" s="17"/>
      <c r="BR19" s="17"/>
      <c r="BS19" s="17"/>
      <c r="BT19" s="17"/>
      <c r="BU19" s="20">
        <f t="shared" si="168"/>
        <v>0</v>
      </c>
      <c r="BW19" s="17"/>
      <c r="BX19" s="17"/>
      <c r="BY19" s="17"/>
      <c r="BZ19" s="17"/>
      <c r="CA19" s="17"/>
      <c r="CB19" s="17"/>
      <c r="CC19" s="17"/>
      <c r="CD19" s="17"/>
      <c r="CE19" s="17"/>
      <c r="CF19" s="17"/>
      <c r="CG19" s="17"/>
      <c r="CH19" s="17"/>
      <c r="CI19" s="20">
        <f t="shared" si="169"/>
        <v>0</v>
      </c>
      <c r="CK19" s="17"/>
      <c r="CL19" s="17"/>
      <c r="CM19" s="17"/>
      <c r="CN19" s="17"/>
      <c r="CO19" s="17"/>
      <c r="CP19" s="17"/>
      <c r="CQ19" s="17"/>
      <c r="CR19" s="17"/>
      <c r="CS19" s="17"/>
      <c r="CT19" s="17"/>
      <c r="CU19" s="17"/>
      <c r="CV19" s="17"/>
      <c r="CW19" s="20">
        <f t="shared" si="170"/>
        <v>0</v>
      </c>
      <c r="CY19" s="17"/>
      <c r="CZ19" s="17"/>
      <c r="DA19" s="17"/>
      <c r="DB19" s="17"/>
      <c r="DC19" s="17"/>
      <c r="DD19" s="17"/>
      <c r="DE19" s="17"/>
      <c r="DF19" s="17"/>
      <c r="DG19" s="17"/>
      <c r="DH19" s="17"/>
      <c r="DI19" s="17"/>
      <c r="DJ19" s="17"/>
      <c r="DK19" s="20">
        <f t="shared" si="171"/>
        <v>0</v>
      </c>
    </row>
    <row r="20" spans="3:115" x14ac:dyDescent="0.25">
      <c r="C20" s="12" t="s">
        <v>4</v>
      </c>
      <c r="E20" s="19" cm="1">
        <f t="array" aca="1" ref="E20" ca="1">SUM(INDIRECT(ADDRESS(income_min_row,COLUMN())&amp;":" &amp; ADDRESS(income_max_row, COLUMN())))</f>
        <v>3800</v>
      </c>
      <c r="F20" s="19" cm="1">
        <f t="array" aca="1" ref="F20" ca="1">SUM(INDIRECT(ADDRESS(income_min_row,COLUMN())&amp;":" &amp; ADDRESS(income_max_row, COLUMN())))</f>
        <v>4600</v>
      </c>
      <c r="G20" s="19" cm="1">
        <f t="array" aca="1" ref="G20" ca="1">SUM(INDIRECT(ADDRESS(income_min_row,COLUMN())&amp;":" &amp; ADDRESS(income_max_row, COLUMN())))</f>
        <v>2700</v>
      </c>
      <c r="H20" s="19" cm="1">
        <f t="array" aca="1" ref="H20" ca="1">SUM(INDIRECT(ADDRESS(income_min_row,COLUMN())&amp;":" &amp; ADDRESS(income_max_row, COLUMN())))</f>
        <v>2700</v>
      </c>
      <c r="I20" s="19" cm="1">
        <f t="array" aca="1" ref="I20" ca="1">SUM(INDIRECT(ADDRESS(income_min_row,COLUMN())&amp;":" &amp; ADDRESS(income_max_row, COLUMN())))</f>
        <v>2700</v>
      </c>
      <c r="J20" s="19" cm="1">
        <f t="array" aca="1" ref="J20" ca="1">SUM(INDIRECT(ADDRESS(income_min_row,COLUMN())&amp;":" &amp; ADDRESS(income_max_row, COLUMN())))</f>
        <v>2700</v>
      </c>
      <c r="K20" s="19" cm="1">
        <f t="array" aca="1" ref="K20" ca="1">SUM(INDIRECT(ADDRESS(income_min_row,COLUMN())&amp;":" &amp; ADDRESS(income_max_row, COLUMN())))</f>
        <v>2700</v>
      </c>
      <c r="L20" s="19" cm="1">
        <f t="array" aca="1" ref="L20" ca="1">SUM(INDIRECT(ADDRESS(income_min_row,COLUMN())&amp;":" &amp; ADDRESS(income_max_row, COLUMN())))</f>
        <v>2700</v>
      </c>
      <c r="M20" s="19" cm="1">
        <f t="array" aca="1" ref="M20" ca="1">SUM(INDIRECT(ADDRESS(income_min_row,COLUMN())&amp;":" &amp; ADDRESS(income_max_row, COLUMN())))</f>
        <v>2700</v>
      </c>
      <c r="N20" s="19" cm="1">
        <f t="array" aca="1" ref="N20" ca="1">SUM(INDIRECT(ADDRESS(income_min_row,COLUMN())&amp;":" &amp; ADDRESS(income_max_row, COLUMN())))</f>
        <v>2700</v>
      </c>
      <c r="O20" s="19" cm="1">
        <f t="array" aca="1" ref="O20" ca="1">SUM(INDIRECT(ADDRESS(income_min_row,COLUMN())&amp;":" &amp; ADDRESS(income_max_row, COLUMN())))</f>
        <v>2700</v>
      </c>
      <c r="P20" s="19" cm="1">
        <f t="array" aca="1" ref="P20" ca="1">SUM(INDIRECT(ADDRESS(income_min_row,COLUMN())&amp;":" &amp; ADDRESS(income_max_row, COLUMN())))</f>
        <v>2700</v>
      </c>
      <c r="Q20" s="19" cm="1">
        <f t="array" aca="1" ref="Q20" ca="1">SUM(INDIRECT(ADDRESS(income_min_row,COLUMN())&amp;":" &amp; ADDRESS(income_max_row, COLUMN())))</f>
        <v>35400</v>
      </c>
      <c r="S20" s="19" cm="1">
        <f t="array" aca="1" ref="S20" ca="1">SUM(INDIRECT(ADDRESS(income_min_row,COLUMN())&amp;":" &amp; ADDRESS(income_max_row, COLUMN())))</f>
        <v>0</v>
      </c>
      <c r="T20" s="19" cm="1">
        <f t="array" aca="1" ref="T20" ca="1">SUM(INDIRECT(ADDRESS(income_min_row,COLUMN())&amp;":" &amp; ADDRESS(income_max_row, COLUMN())))</f>
        <v>0</v>
      </c>
      <c r="U20" s="19" cm="1">
        <f t="array" aca="1" ref="U20" ca="1">SUM(INDIRECT(ADDRESS(income_min_row,COLUMN())&amp;":" &amp; ADDRESS(income_max_row, COLUMN())))</f>
        <v>0</v>
      </c>
      <c r="V20" s="19" cm="1">
        <f t="array" aca="1" ref="V20" ca="1">SUM(INDIRECT(ADDRESS(income_min_row,COLUMN())&amp;":" &amp; ADDRESS(income_max_row, COLUMN())))</f>
        <v>0</v>
      </c>
      <c r="W20" s="19" cm="1">
        <f t="array" aca="1" ref="W20" ca="1">SUM(INDIRECT(ADDRESS(income_min_row,COLUMN())&amp;":" &amp; ADDRESS(income_max_row, COLUMN())))</f>
        <v>0</v>
      </c>
      <c r="X20" s="19" cm="1">
        <f t="array" aca="1" ref="X20" ca="1">SUM(INDIRECT(ADDRESS(income_min_row,COLUMN())&amp;":" &amp; ADDRESS(income_max_row, COLUMN())))</f>
        <v>0</v>
      </c>
      <c r="Y20" s="19" cm="1">
        <f t="array" aca="1" ref="Y20" ca="1">SUM(INDIRECT(ADDRESS(income_min_row,COLUMN())&amp;":" &amp; ADDRESS(income_max_row, COLUMN())))</f>
        <v>0</v>
      </c>
      <c r="Z20" s="19" cm="1">
        <f t="array" aca="1" ref="Z20" ca="1">SUM(INDIRECT(ADDRESS(income_min_row,COLUMN())&amp;":" &amp; ADDRESS(income_max_row, COLUMN())))</f>
        <v>0</v>
      </c>
      <c r="AA20" s="19" cm="1">
        <f t="array" aca="1" ref="AA20" ca="1">SUM(INDIRECT(ADDRESS(income_min_row,COLUMN())&amp;":" &amp; ADDRESS(income_max_row, COLUMN())))</f>
        <v>0</v>
      </c>
      <c r="AB20" s="19" cm="1">
        <f t="array" aca="1" ref="AB20" ca="1">SUM(INDIRECT(ADDRESS(income_min_row,COLUMN())&amp;":" &amp; ADDRESS(income_max_row, COLUMN())))</f>
        <v>0</v>
      </c>
      <c r="AC20" s="19" cm="1">
        <f t="array" aca="1" ref="AC20" ca="1">SUM(INDIRECT(ADDRESS(income_min_row,COLUMN())&amp;":" &amp; ADDRESS(income_max_row, COLUMN())))</f>
        <v>0</v>
      </c>
      <c r="AD20" s="19" cm="1">
        <f t="array" aca="1" ref="AD20" ca="1">SUM(INDIRECT(ADDRESS(income_min_row,COLUMN())&amp;":" &amp; ADDRESS(income_max_row, COLUMN())))</f>
        <v>0</v>
      </c>
      <c r="AE20" s="19" cm="1">
        <f t="array" aca="1" ref="AE20" ca="1">SUM(INDIRECT(ADDRESS(income_min_row,COLUMN())&amp;":" &amp; ADDRESS(income_max_row, COLUMN())))</f>
        <v>0</v>
      </c>
      <c r="AG20" s="19" cm="1">
        <f t="array" aca="1" ref="AG20" ca="1">SUM(INDIRECT(ADDRESS(income_min_row,COLUMN())&amp;":" &amp; ADDRESS(income_max_row, COLUMN())))</f>
        <v>0</v>
      </c>
      <c r="AH20" s="19" cm="1">
        <f t="array" aca="1" ref="AH20" ca="1">SUM(INDIRECT(ADDRESS(income_min_row,COLUMN())&amp;":" &amp; ADDRESS(income_max_row, COLUMN())))</f>
        <v>0</v>
      </c>
      <c r="AI20" s="19" cm="1">
        <f t="array" aca="1" ref="AI20" ca="1">SUM(INDIRECT(ADDRESS(income_min_row,COLUMN())&amp;":" &amp; ADDRESS(income_max_row, COLUMN())))</f>
        <v>0</v>
      </c>
      <c r="AJ20" s="19" cm="1">
        <f t="array" aca="1" ref="AJ20" ca="1">SUM(INDIRECT(ADDRESS(income_min_row,COLUMN())&amp;":" &amp; ADDRESS(income_max_row, COLUMN())))</f>
        <v>0</v>
      </c>
      <c r="AK20" s="19" cm="1">
        <f t="array" aca="1" ref="AK20" ca="1">SUM(INDIRECT(ADDRESS(income_min_row,COLUMN())&amp;":" &amp; ADDRESS(income_max_row, COLUMN())))</f>
        <v>0</v>
      </c>
      <c r="AL20" s="19" cm="1">
        <f t="array" aca="1" ref="AL20" ca="1">SUM(INDIRECT(ADDRESS(income_min_row,COLUMN())&amp;":" &amp; ADDRESS(income_max_row, COLUMN())))</f>
        <v>0</v>
      </c>
      <c r="AM20" s="19" cm="1">
        <f t="array" aca="1" ref="AM20" ca="1">SUM(INDIRECT(ADDRESS(income_min_row,COLUMN())&amp;":" &amp; ADDRESS(income_max_row, COLUMN())))</f>
        <v>0</v>
      </c>
      <c r="AN20" s="19" cm="1">
        <f t="array" aca="1" ref="AN20" ca="1">SUM(INDIRECT(ADDRESS(income_min_row,COLUMN())&amp;":" &amp; ADDRESS(income_max_row, COLUMN())))</f>
        <v>0</v>
      </c>
      <c r="AO20" s="19" cm="1">
        <f t="array" aca="1" ref="AO20" ca="1">SUM(INDIRECT(ADDRESS(income_min_row,COLUMN())&amp;":" &amp; ADDRESS(income_max_row, COLUMN())))</f>
        <v>0</v>
      </c>
      <c r="AP20" s="19" cm="1">
        <f t="array" aca="1" ref="AP20" ca="1">SUM(INDIRECT(ADDRESS(income_min_row,COLUMN())&amp;":" &amp; ADDRESS(income_max_row, COLUMN())))</f>
        <v>0</v>
      </c>
      <c r="AQ20" s="19" cm="1">
        <f t="array" aca="1" ref="AQ20" ca="1">SUM(INDIRECT(ADDRESS(income_min_row,COLUMN())&amp;":" &amp; ADDRESS(income_max_row, COLUMN())))</f>
        <v>0</v>
      </c>
      <c r="AR20" s="19" cm="1">
        <f t="array" aca="1" ref="AR20" ca="1">SUM(INDIRECT(ADDRESS(income_min_row,COLUMN())&amp;":" &amp; ADDRESS(income_max_row, COLUMN())))</f>
        <v>0</v>
      </c>
      <c r="AS20" s="19" cm="1">
        <f t="array" aca="1" ref="AS20" ca="1">SUM(INDIRECT(ADDRESS(income_min_row,COLUMN())&amp;":" &amp; ADDRESS(income_max_row, COLUMN())))</f>
        <v>0</v>
      </c>
      <c r="AU20" s="19" cm="1">
        <f t="array" aca="1" ref="AU20" ca="1">SUM(INDIRECT(ADDRESS(income_min_row,COLUMN())&amp;":" &amp; ADDRESS(income_max_row, COLUMN())))</f>
        <v>0</v>
      </c>
      <c r="AV20" s="19" cm="1">
        <f t="array" aca="1" ref="AV20" ca="1">SUM(INDIRECT(ADDRESS(income_min_row,COLUMN())&amp;":" &amp; ADDRESS(income_max_row, COLUMN())))</f>
        <v>0</v>
      </c>
      <c r="AW20" s="19" cm="1">
        <f t="array" aca="1" ref="AW20" ca="1">SUM(INDIRECT(ADDRESS(income_min_row,COLUMN())&amp;":" &amp; ADDRESS(income_max_row, COLUMN())))</f>
        <v>0</v>
      </c>
      <c r="AX20" s="19" cm="1">
        <f t="array" aca="1" ref="AX20" ca="1">SUM(INDIRECT(ADDRESS(income_min_row,COLUMN())&amp;":" &amp; ADDRESS(income_max_row, COLUMN())))</f>
        <v>0</v>
      </c>
      <c r="AY20" s="19" cm="1">
        <f t="array" aca="1" ref="AY20" ca="1">SUM(INDIRECT(ADDRESS(income_min_row,COLUMN())&amp;":" &amp; ADDRESS(income_max_row, COLUMN())))</f>
        <v>0</v>
      </c>
      <c r="AZ20" s="19" cm="1">
        <f t="array" aca="1" ref="AZ20" ca="1">SUM(INDIRECT(ADDRESS(income_min_row,COLUMN())&amp;":" &amp; ADDRESS(income_max_row, COLUMN())))</f>
        <v>0</v>
      </c>
      <c r="BA20" s="19" cm="1">
        <f t="array" aca="1" ref="BA20" ca="1">SUM(INDIRECT(ADDRESS(income_min_row,COLUMN())&amp;":" &amp; ADDRESS(income_max_row, COLUMN())))</f>
        <v>0</v>
      </c>
      <c r="BB20" s="19" cm="1">
        <f t="array" aca="1" ref="BB20" ca="1">SUM(INDIRECT(ADDRESS(income_min_row,COLUMN())&amp;":" &amp; ADDRESS(income_max_row, COLUMN())))</f>
        <v>0</v>
      </c>
      <c r="BC20" s="19" cm="1">
        <f t="array" aca="1" ref="BC20" ca="1">SUM(INDIRECT(ADDRESS(income_min_row,COLUMN())&amp;":" &amp; ADDRESS(income_max_row, COLUMN())))</f>
        <v>0</v>
      </c>
      <c r="BD20" s="19" cm="1">
        <f t="array" aca="1" ref="BD20" ca="1">SUM(INDIRECT(ADDRESS(income_min_row,COLUMN())&amp;":" &amp; ADDRESS(income_max_row, COLUMN())))</f>
        <v>0</v>
      </c>
      <c r="BE20" s="19" cm="1">
        <f t="array" aca="1" ref="BE20" ca="1">SUM(INDIRECT(ADDRESS(income_min_row,COLUMN())&amp;":" &amp; ADDRESS(income_max_row, COLUMN())))</f>
        <v>0</v>
      </c>
      <c r="BF20" s="19" cm="1">
        <f t="array" aca="1" ref="BF20" ca="1">SUM(INDIRECT(ADDRESS(income_min_row,COLUMN())&amp;":" &amp; ADDRESS(income_max_row, COLUMN())))</f>
        <v>0</v>
      </c>
      <c r="BG20" s="19" cm="1">
        <f t="array" aca="1" ref="BG20" ca="1">SUM(INDIRECT(ADDRESS(income_min_row,COLUMN())&amp;":" &amp; ADDRESS(income_max_row, COLUMN())))</f>
        <v>0</v>
      </c>
      <c r="BI20" s="19" cm="1">
        <f t="array" aca="1" ref="BI20" ca="1">SUM(INDIRECT(ADDRESS(income_min_row,COLUMN())&amp;":" &amp; ADDRESS(income_max_row, COLUMN())))</f>
        <v>0</v>
      </c>
      <c r="BJ20" s="19" cm="1">
        <f t="array" aca="1" ref="BJ20" ca="1">SUM(INDIRECT(ADDRESS(income_min_row,COLUMN())&amp;":" &amp; ADDRESS(income_max_row, COLUMN())))</f>
        <v>0</v>
      </c>
      <c r="BK20" s="19" cm="1">
        <f t="array" aca="1" ref="BK20" ca="1">SUM(INDIRECT(ADDRESS(income_min_row,COLUMN())&amp;":" &amp; ADDRESS(income_max_row, COLUMN())))</f>
        <v>0</v>
      </c>
      <c r="BL20" s="19" cm="1">
        <f t="array" aca="1" ref="BL20" ca="1">SUM(INDIRECT(ADDRESS(income_min_row,COLUMN())&amp;":" &amp; ADDRESS(income_max_row, COLUMN())))</f>
        <v>0</v>
      </c>
      <c r="BM20" s="19" cm="1">
        <f t="array" aca="1" ref="BM20" ca="1">SUM(INDIRECT(ADDRESS(income_min_row,COLUMN())&amp;":" &amp; ADDRESS(income_max_row, COLUMN())))</f>
        <v>0</v>
      </c>
      <c r="BN20" s="19" cm="1">
        <f t="array" aca="1" ref="BN20" ca="1">SUM(INDIRECT(ADDRESS(income_min_row,COLUMN())&amp;":" &amp; ADDRESS(income_max_row, COLUMN())))</f>
        <v>0</v>
      </c>
      <c r="BO20" s="19" cm="1">
        <f t="array" aca="1" ref="BO20" ca="1">SUM(INDIRECT(ADDRESS(income_min_row,COLUMN())&amp;":" &amp; ADDRESS(income_max_row, COLUMN())))</f>
        <v>0</v>
      </c>
      <c r="BP20" s="19" cm="1">
        <f t="array" aca="1" ref="BP20" ca="1">SUM(INDIRECT(ADDRESS(income_min_row,COLUMN())&amp;":" &amp; ADDRESS(income_max_row, COLUMN())))</f>
        <v>0</v>
      </c>
      <c r="BQ20" s="19" cm="1">
        <f t="array" aca="1" ref="BQ20" ca="1">SUM(INDIRECT(ADDRESS(income_min_row,COLUMN())&amp;":" &amp; ADDRESS(income_max_row, COLUMN())))</f>
        <v>0</v>
      </c>
      <c r="BR20" s="19" cm="1">
        <f t="array" aca="1" ref="BR20" ca="1">SUM(INDIRECT(ADDRESS(income_min_row,COLUMN())&amp;":" &amp; ADDRESS(income_max_row, COLUMN())))</f>
        <v>0</v>
      </c>
      <c r="BS20" s="19" cm="1">
        <f t="array" aca="1" ref="BS20" ca="1">SUM(INDIRECT(ADDRESS(income_min_row,COLUMN())&amp;":" &amp; ADDRESS(income_max_row, COLUMN())))</f>
        <v>0</v>
      </c>
      <c r="BT20" s="19" cm="1">
        <f t="array" aca="1" ref="BT20" ca="1">SUM(INDIRECT(ADDRESS(income_min_row,COLUMN())&amp;":" &amp; ADDRESS(income_max_row, COLUMN())))</f>
        <v>0</v>
      </c>
      <c r="BU20" s="19" cm="1">
        <f t="array" aca="1" ref="BU20" ca="1">SUM(INDIRECT(ADDRESS(income_min_row,COLUMN())&amp;":" &amp; ADDRESS(income_max_row, COLUMN())))</f>
        <v>0</v>
      </c>
      <c r="BW20" s="19" cm="1">
        <f t="array" aca="1" ref="BW20" ca="1">SUM(INDIRECT(ADDRESS(income_min_row,COLUMN())&amp;":" &amp; ADDRESS(income_max_row, COLUMN())))</f>
        <v>0</v>
      </c>
      <c r="BX20" s="19" cm="1">
        <f t="array" aca="1" ref="BX20" ca="1">SUM(INDIRECT(ADDRESS(income_min_row,COLUMN())&amp;":" &amp; ADDRESS(income_max_row, COLUMN())))</f>
        <v>0</v>
      </c>
      <c r="BY20" s="19" cm="1">
        <f t="array" aca="1" ref="BY20" ca="1">SUM(INDIRECT(ADDRESS(income_min_row,COLUMN())&amp;":" &amp; ADDRESS(income_max_row, COLUMN())))</f>
        <v>0</v>
      </c>
      <c r="BZ20" s="19" cm="1">
        <f t="array" aca="1" ref="BZ20" ca="1">SUM(INDIRECT(ADDRESS(income_min_row,COLUMN())&amp;":" &amp; ADDRESS(income_max_row, COLUMN())))</f>
        <v>0</v>
      </c>
      <c r="CA20" s="19" cm="1">
        <f t="array" aca="1" ref="CA20" ca="1">SUM(INDIRECT(ADDRESS(income_min_row,COLUMN())&amp;":" &amp; ADDRESS(income_max_row, COLUMN())))</f>
        <v>0</v>
      </c>
      <c r="CB20" s="19" cm="1">
        <f t="array" aca="1" ref="CB20" ca="1">SUM(INDIRECT(ADDRESS(income_min_row,COLUMN())&amp;":" &amp; ADDRESS(income_max_row, COLUMN())))</f>
        <v>0</v>
      </c>
      <c r="CC20" s="19" cm="1">
        <f t="array" aca="1" ref="CC20" ca="1">SUM(INDIRECT(ADDRESS(income_min_row,COLUMN())&amp;":" &amp; ADDRESS(income_max_row, COLUMN())))</f>
        <v>0</v>
      </c>
      <c r="CD20" s="19" cm="1">
        <f t="array" aca="1" ref="CD20" ca="1">SUM(INDIRECT(ADDRESS(income_min_row,COLUMN())&amp;":" &amp; ADDRESS(income_max_row, COLUMN())))</f>
        <v>0</v>
      </c>
      <c r="CE20" s="19" cm="1">
        <f t="array" aca="1" ref="CE20" ca="1">SUM(INDIRECT(ADDRESS(income_min_row,COLUMN())&amp;":" &amp; ADDRESS(income_max_row, COLUMN())))</f>
        <v>0</v>
      </c>
      <c r="CF20" s="19" cm="1">
        <f t="array" aca="1" ref="CF20" ca="1">SUM(INDIRECT(ADDRESS(income_min_row,COLUMN())&amp;":" &amp; ADDRESS(income_max_row, COLUMN())))</f>
        <v>0</v>
      </c>
      <c r="CG20" s="19" cm="1">
        <f t="array" aca="1" ref="CG20" ca="1">SUM(INDIRECT(ADDRESS(income_min_row,COLUMN())&amp;":" &amp; ADDRESS(income_max_row, COLUMN())))</f>
        <v>0</v>
      </c>
      <c r="CH20" s="19" cm="1">
        <f t="array" aca="1" ref="CH20" ca="1">SUM(INDIRECT(ADDRESS(income_min_row,COLUMN())&amp;":" &amp; ADDRESS(income_max_row, COLUMN())))</f>
        <v>0</v>
      </c>
      <c r="CI20" s="19" cm="1">
        <f t="array" aca="1" ref="CI20" ca="1">SUM(INDIRECT(ADDRESS(income_min_row,COLUMN())&amp;":" &amp; ADDRESS(income_max_row, COLUMN())))</f>
        <v>0</v>
      </c>
      <c r="CK20" s="19" cm="1">
        <f t="array" aca="1" ref="CK20" ca="1">SUM(INDIRECT(ADDRESS(income_min_row,COLUMN())&amp;":" &amp; ADDRESS(income_max_row, COLUMN())))</f>
        <v>0</v>
      </c>
      <c r="CL20" s="19" cm="1">
        <f t="array" aca="1" ref="CL20" ca="1">SUM(INDIRECT(ADDRESS(income_min_row,COLUMN())&amp;":" &amp; ADDRESS(income_max_row, COLUMN())))</f>
        <v>0</v>
      </c>
      <c r="CM20" s="19" cm="1">
        <f t="array" aca="1" ref="CM20" ca="1">SUM(INDIRECT(ADDRESS(income_min_row,COLUMN())&amp;":" &amp; ADDRESS(income_max_row, COLUMN())))</f>
        <v>0</v>
      </c>
      <c r="CN20" s="19" cm="1">
        <f t="array" aca="1" ref="CN20" ca="1">SUM(INDIRECT(ADDRESS(income_min_row,COLUMN())&amp;":" &amp; ADDRESS(income_max_row, COLUMN())))</f>
        <v>0</v>
      </c>
      <c r="CO20" s="19" cm="1">
        <f t="array" aca="1" ref="CO20" ca="1">SUM(INDIRECT(ADDRESS(income_min_row,COLUMN())&amp;":" &amp; ADDRESS(income_max_row, COLUMN())))</f>
        <v>0</v>
      </c>
      <c r="CP20" s="19" cm="1">
        <f t="array" aca="1" ref="CP20" ca="1">SUM(INDIRECT(ADDRESS(income_min_row,COLUMN())&amp;":" &amp; ADDRESS(income_max_row, COLUMN())))</f>
        <v>0</v>
      </c>
      <c r="CQ20" s="19" cm="1">
        <f t="array" aca="1" ref="CQ20" ca="1">SUM(INDIRECT(ADDRESS(income_min_row,COLUMN())&amp;":" &amp; ADDRESS(income_max_row, COLUMN())))</f>
        <v>0</v>
      </c>
      <c r="CR20" s="19" cm="1">
        <f t="array" aca="1" ref="CR20" ca="1">SUM(INDIRECT(ADDRESS(income_min_row,COLUMN())&amp;":" &amp; ADDRESS(income_max_row, COLUMN())))</f>
        <v>0</v>
      </c>
      <c r="CS20" s="19" cm="1">
        <f t="array" aca="1" ref="CS20" ca="1">SUM(INDIRECT(ADDRESS(income_min_row,COLUMN())&amp;":" &amp; ADDRESS(income_max_row, COLUMN())))</f>
        <v>0</v>
      </c>
      <c r="CT20" s="19" cm="1">
        <f t="array" aca="1" ref="CT20" ca="1">SUM(INDIRECT(ADDRESS(income_min_row,COLUMN())&amp;":" &amp; ADDRESS(income_max_row, COLUMN())))</f>
        <v>0</v>
      </c>
      <c r="CU20" s="19" cm="1">
        <f t="array" aca="1" ref="CU20" ca="1">SUM(INDIRECT(ADDRESS(income_min_row,COLUMN())&amp;":" &amp; ADDRESS(income_max_row, COLUMN())))</f>
        <v>0</v>
      </c>
      <c r="CV20" s="19" cm="1">
        <f t="array" aca="1" ref="CV20" ca="1">SUM(INDIRECT(ADDRESS(income_min_row,COLUMN())&amp;":" &amp; ADDRESS(income_max_row, COLUMN())))</f>
        <v>0</v>
      </c>
      <c r="CW20" s="19" cm="1">
        <f t="array" aca="1" ref="CW20" ca="1">SUM(INDIRECT(ADDRESS(income_min_row,COLUMN())&amp;":" &amp; ADDRESS(income_max_row, COLUMN())))</f>
        <v>0</v>
      </c>
      <c r="CY20" s="19" cm="1">
        <f t="array" aca="1" ref="CY20" ca="1">SUM(INDIRECT(ADDRESS(income_min_row,COLUMN())&amp;":" &amp; ADDRESS(income_max_row, COLUMN())))</f>
        <v>0</v>
      </c>
      <c r="CZ20" s="19" cm="1">
        <f t="array" aca="1" ref="CZ20" ca="1">SUM(INDIRECT(ADDRESS(income_min_row,COLUMN())&amp;":" &amp; ADDRESS(income_max_row, COLUMN())))</f>
        <v>0</v>
      </c>
      <c r="DA20" s="19" cm="1">
        <f t="array" aca="1" ref="DA20" ca="1">SUM(INDIRECT(ADDRESS(income_min_row,COLUMN())&amp;":" &amp; ADDRESS(income_max_row, COLUMN())))</f>
        <v>0</v>
      </c>
      <c r="DB20" s="19" cm="1">
        <f t="array" aca="1" ref="DB20" ca="1">SUM(INDIRECT(ADDRESS(income_min_row,COLUMN())&amp;":" &amp; ADDRESS(income_max_row, COLUMN())))</f>
        <v>0</v>
      </c>
      <c r="DC20" s="19" cm="1">
        <f t="array" aca="1" ref="DC20" ca="1">SUM(INDIRECT(ADDRESS(income_min_row,COLUMN())&amp;":" &amp; ADDRESS(income_max_row, COLUMN())))</f>
        <v>0</v>
      </c>
      <c r="DD20" s="19" cm="1">
        <f t="array" aca="1" ref="DD20" ca="1">SUM(INDIRECT(ADDRESS(income_min_row,COLUMN())&amp;":" &amp; ADDRESS(income_max_row, COLUMN())))</f>
        <v>0</v>
      </c>
      <c r="DE20" s="19" cm="1">
        <f t="array" aca="1" ref="DE20" ca="1">SUM(INDIRECT(ADDRESS(income_min_row,COLUMN())&amp;":" &amp; ADDRESS(income_max_row, COLUMN())))</f>
        <v>0</v>
      </c>
      <c r="DF20" s="19" cm="1">
        <f t="array" aca="1" ref="DF20" ca="1">SUM(INDIRECT(ADDRESS(income_min_row,COLUMN())&amp;":" &amp; ADDRESS(income_max_row, COLUMN())))</f>
        <v>0</v>
      </c>
      <c r="DG20" s="19" cm="1">
        <f t="array" aca="1" ref="DG20" ca="1">SUM(INDIRECT(ADDRESS(income_min_row,COLUMN())&amp;":" &amp; ADDRESS(income_max_row, COLUMN())))</f>
        <v>0</v>
      </c>
      <c r="DH20" s="19" cm="1">
        <f t="array" aca="1" ref="DH20" ca="1">SUM(INDIRECT(ADDRESS(income_min_row,COLUMN())&amp;":" &amp; ADDRESS(income_max_row, COLUMN())))</f>
        <v>0</v>
      </c>
      <c r="DI20" s="19" cm="1">
        <f t="array" aca="1" ref="DI20" ca="1">SUM(INDIRECT(ADDRESS(income_min_row,COLUMN())&amp;":" &amp; ADDRESS(income_max_row, COLUMN())))</f>
        <v>0</v>
      </c>
      <c r="DJ20" s="19" cm="1">
        <f t="array" aca="1" ref="DJ20" ca="1">SUM(INDIRECT(ADDRESS(income_min_row,COLUMN())&amp;":" &amp; ADDRESS(income_max_row, COLUMN())))</f>
        <v>0</v>
      </c>
      <c r="DK20" s="19" cm="1">
        <f t="array" aca="1" ref="DK20" ca="1">SUM(INDIRECT(ADDRESS(income_min_row,COLUMN())&amp;":" &amp; ADDRESS(income_max_row, COLUMN())))</f>
        <v>0</v>
      </c>
    </row>
    <row r="22" spans="3:115" x14ac:dyDescent="0.25">
      <c r="C22" s="11" t="s">
        <v>1</v>
      </c>
      <c r="E22" s="21">
        <f>DATE(E$5,1,1)</f>
        <v>45658</v>
      </c>
      <c r="F22" s="21">
        <f>DATE(E$5,2,1)</f>
        <v>45689</v>
      </c>
      <c r="G22" s="21">
        <f>DATE(E$5,3,1)</f>
        <v>45717</v>
      </c>
      <c r="H22" s="21">
        <f>DATE(E$5,4,1)</f>
        <v>45748</v>
      </c>
      <c r="I22" s="21">
        <f>DATE(E$5,5,1)</f>
        <v>45778</v>
      </c>
      <c r="J22" s="21">
        <f>DATE(E$5,6,1)</f>
        <v>45809</v>
      </c>
      <c r="K22" s="21">
        <f>DATE(E$5,7,1)</f>
        <v>45839</v>
      </c>
      <c r="L22" s="21">
        <f>DATE(E$5,8,1)</f>
        <v>45870</v>
      </c>
      <c r="M22" s="21">
        <f>DATE(E$5,9,1)</f>
        <v>45901</v>
      </c>
      <c r="N22" s="21">
        <f>DATE(E$5,10,1)</f>
        <v>45931</v>
      </c>
      <c r="O22" s="21">
        <f>DATE(E$5,11,1)</f>
        <v>45962</v>
      </c>
      <c r="P22" s="21">
        <f>DATE(E$5,12,1)</f>
        <v>45992</v>
      </c>
      <c r="Q22" s="22">
        <f>$E5</f>
        <v>2025</v>
      </c>
      <c r="S22" s="21">
        <f>DATE(S$5,1,1)</f>
        <v>46023</v>
      </c>
      <c r="T22" s="21">
        <f>DATE(S$5,2,1)</f>
        <v>46054</v>
      </c>
      <c r="U22" s="21">
        <f>DATE(S$5,3,1)</f>
        <v>46082</v>
      </c>
      <c r="V22" s="21">
        <f>DATE(S$5,4,1)</f>
        <v>46113</v>
      </c>
      <c r="W22" s="21">
        <f>DATE(S$5,5,1)</f>
        <v>46143</v>
      </c>
      <c r="X22" s="21">
        <f>DATE(S$5,6,1)</f>
        <v>46174</v>
      </c>
      <c r="Y22" s="21">
        <f>DATE(S$5,7,1)</f>
        <v>46204</v>
      </c>
      <c r="Z22" s="21">
        <f>DATE(S$5,8,1)</f>
        <v>46235</v>
      </c>
      <c r="AA22" s="21">
        <f>DATE(S$5,9,1)</f>
        <v>46266</v>
      </c>
      <c r="AB22" s="21">
        <f>DATE(S$5,10,1)</f>
        <v>46296</v>
      </c>
      <c r="AC22" s="21">
        <f>DATE(S$5,11,1)</f>
        <v>46327</v>
      </c>
      <c r="AD22" s="21">
        <f>DATE(S$5,12,1)</f>
        <v>46357</v>
      </c>
      <c r="AE22" s="22">
        <f>$E5+1</f>
        <v>2026</v>
      </c>
      <c r="AG22" s="21">
        <f t="shared" ref="AG22" si="172">DATE(AG$5,1,1)</f>
        <v>46388</v>
      </c>
      <c r="AH22" s="21">
        <f t="shared" ref="AH22" si="173">DATE(AG$5,2,1)</f>
        <v>46419</v>
      </c>
      <c r="AI22" s="21">
        <f t="shared" ref="AI22" si="174">DATE(AG$5,3,1)</f>
        <v>46447</v>
      </c>
      <c r="AJ22" s="21">
        <f t="shared" ref="AJ22" si="175">DATE(AG$5,4,1)</f>
        <v>46478</v>
      </c>
      <c r="AK22" s="21">
        <f t="shared" ref="AK22" si="176">DATE(AG$5,5,1)</f>
        <v>46508</v>
      </c>
      <c r="AL22" s="21">
        <f t="shared" ref="AL22" si="177">DATE(AG$5,6,1)</f>
        <v>46539</v>
      </c>
      <c r="AM22" s="21">
        <f t="shared" ref="AM22" si="178">DATE(AG$5,7,1)</f>
        <v>46569</v>
      </c>
      <c r="AN22" s="21">
        <f t="shared" ref="AN22" si="179">DATE(AG$5,8,1)</f>
        <v>46600</v>
      </c>
      <c r="AO22" s="21">
        <f t="shared" ref="AO22" si="180">DATE(AG$5,9,1)</f>
        <v>46631</v>
      </c>
      <c r="AP22" s="21">
        <f t="shared" ref="AP22" si="181">DATE(AG$5,10,1)</f>
        <v>46661</v>
      </c>
      <c r="AQ22" s="21">
        <f t="shared" ref="AQ22" si="182">DATE(AG$5,11,1)</f>
        <v>46692</v>
      </c>
      <c r="AR22" s="21">
        <f t="shared" ref="AR22" si="183">DATE(AG$5,12,1)</f>
        <v>46722</v>
      </c>
      <c r="AS22" s="22">
        <f>$E5+2</f>
        <v>2027</v>
      </c>
      <c r="AU22" s="21">
        <f t="shared" ref="AU22" si="184">DATE(AU$5,1,1)</f>
        <v>46753</v>
      </c>
      <c r="AV22" s="21">
        <f t="shared" ref="AV22" si="185">DATE(AU$5,2,1)</f>
        <v>46784</v>
      </c>
      <c r="AW22" s="21">
        <f t="shared" ref="AW22" si="186">DATE(AU$5,3,1)</f>
        <v>46813</v>
      </c>
      <c r="AX22" s="21">
        <f t="shared" ref="AX22" si="187">DATE(AU$5,4,1)</f>
        <v>46844</v>
      </c>
      <c r="AY22" s="21">
        <f t="shared" ref="AY22" si="188">DATE(AU$5,5,1)</f>
        <v>46874</v>
      </c>
      <c r="AZ22" s="21">
        <f t="shared" ref="AZ22" si="189">DATE(AU$5,6,1)</f>
        <v>46905</v>
      </c>
      <c r="BA22" s="21">
        <f t="shared" ref="BA22" si="190">DATE(AU$5,7,1)</f>
        <v>46935</v>
      </c>
      <c r="BB22" s="21">
        <f t="shared" ref="BB22" si="191">DATE(AU$5,8,1)</f>
        <v>46966</v>
      </c>
      <c r="BC22" s="21">
        <f t="shared" ref="BC22" si="192">DATE(AU$5,9,1)</f>
        <v>46997</v>
      </c>
      <c r="BD22" s="21">
        <f t="shared" ref="BD22" si="193">DATE(AU$5,10,1)</f>
        <v>47027</v>
      </c>
      <c r="BE22" s="21">
        <f t="shared" ref="BE22" si="194">DATE(AU$5,11,1)</f>
        <v>47058</v>
      </c>
      <c r="BF22" s="21">
        <f t="shared" ref="BF22" si="195">DATE(AU$5,12,1)</f>
        <v>47088</v>
      </c>
      <c r="BG22" s="22">
        <f>$E5+3</f>
        <v>2028</v>
      </c>
      <c r="BI22" s="21">
        <f t="shared" ref="BI22" si="196">DATE(BI$5,1,1)</f>
        <v>47119</v>
      </c>
      <c r="BJ22" s="21">
        <f t="shared" ref="BJ22" si="197">DATE(BI$5,2,1)</f>
        <v>47150</v>
      </c>
      <c r="BK22" s="21">
        <f t="shared" ref="BK22" si="198">DATE(BI$5,3,1)</f>
        <v>47178</v>
      </c>
      <c r="BL22" s="21">
        <f t="shared" ref="BL22" si="199">DATE(BI$5,4,1)</f>
        <v>47209</v>
      </c>
      <c r="BM22" s="21">
        <f t="shared" ref="BM22" si="200">DATE(BI$5,5,1)</f>
        <v>47239</v>
      </c>
      <c r="BN22" s="21">
        <f t="shared" ref="BN22" si="201">DATE(BI$5,6,1)</f>
        <v>47270</v>
      </c>
      <c r="BO22" s="21">
        <f t="shared" ref="BO22" si="202">DATE(BI$5,7,1)</f>
        <v>47300</v>
      </c>
      <c r="BP22" s="21">
        <f t="shared" ref="BP22" si="203">DATE(BI$5,8,1)</f>
        <v>47331</v>
      </c>
      <c r="BQ22" s="21">
        <f t="shared" ref="BQ22" si="204">DATE(BI$5,9,1)</f>
        <v>47362</v>
      </c>
      <c r="BR22" s="21">
        <f t="shared" ref="BR22" si="205">DATE(BI$5,10,1)</f>
        <v>47392</v>
      </c>
      <c r="BS22" s="21">
        <f t="shared" ref="BS22" si="206">DATE(BI$5,11,1)</f>
        <v>47423</v>
      </c>
      <c r="BT22" s="21">
        <f t="shared" ref="BT22" si="207">DATE(BI$5,12,1)</f>
        <v>47453</v>
      </c>
      <c r="BU22" s="22">
        <f>$E5+4</f>
        <v>2029</v>
      </c>
      <c r="BW22" s="21">
        <f t="shared" ref="BW22" si="208">DATE(BW$5,1,1)</f>
        <v>47484</v>
      </c>
      <c r="BX22" s="21">
        <f t="shared" ref="BX22" si="209">DATE(BW$5,2,1)</f>
        <v>47515</v>
      </c>
      <c r="BY22" s="21">
        <f t="shared" ref="BY22" si="210">DATE(BW$5,3,1)</f>
        <v>47543</v>
      </c>
      <c r="BZ22" s="21">
        <f t="shared" ref="BZ22" si="211">DATE(BW$5,4,1)</f>
        <v>47574</v>
      </c>
      <c r="CA22" s="21">
        <f t="shared" ref="CA22" si="212">DATE(BW$5,5,1)</f>
        <v>47604</v>
      </c>
      <c r="CB22" s="21">
        <f t="shared" ref="CB22" si="213">DATE(BW$5,6,1)</f>
        <v>47635</v>
      </c>
      <c r="CC22" s="21">
        <f t="shared" ref="CC22" si="214">DATE(BW$5,7,1)</f>
        <v>47665</v>
      </c>
      <c r="CD22" s="21">
        <f t="shared" ref="CD22" si="215">DATE(BW$5,8,1)</f>
        <v>47696</v>
      </c>
      <c r="CE22" s="21">
        <f t="shared" ref="CE22" si="216">DATE(BW$5,9,1)</f>
        <v>47727</v>
      </c>
      <c r="CF22" s="21">
        <f t="shared" ref="CF22" si="217">DATE(BW$5,10,1)</f>
        <v>47757</v>
      </c>
      <c r="CG22" s="21">
        <f t="shared" ref="CG22" si="218">DATE(BW$5,11,1)</f>
        <v>47788</v>
      </c>
      <c r="CH22" s="21">
        <f t="shared" ref="CH22" si="219">DATE(BW$5,12,1)</f>
        <v>47818</v>
      </c>
      <c r="CI22" s="22">
        <f>$E5+5</f>
        <v>2030</v>
      </c>
      <c r="CK22" s="21">
        <f t="shared" ref="CK22" si="220">DATE(CK$5,1,1)</f>
        <v>47849</v>
      </c>
      <c r="CL22" s="21">
        <f t="shared" ref="CL22" si="221">DATE(CK$5,2,1)</f>
        <v>47880</v>
      </c>
      <c r="CM22" s="21">
        <f t="shared" ref="CM22" si="222">DATE(CK$5,3,1)</f>
        <v>47908</v>
      </c>
      <c r="CN22" s="21">
        <f t="shared" ref="CN22" si="223">DATE(CK$5,4,1)</f>
        <v>47939</v>
      </c>
      <c r="CO22" s="21">
        <f t="shared" ref="CO22" si="224">DATE(CK$5,5,1)</f>
        <v>47969</v>
      </c>
      <c r="CP22" s="21">
        <f t="shared" ref="CP22" si="225">DATE(CK$5,6,1)</f>
        <v>48000</v>
      </c>
      <c r="CQ22" s="21">
        <f t="shared" ref="CQ22" si="226">DATE(CK$5,7,1)</f>
        <v>48030</v>
      </c>
      <c r="CR22" s="21">
        <f t="shared" ref="CR22" si="227">DATE(CK$5,8,1)</f>
        <v>48061</v>
      </c>
      <c r="CS22" s="21">
        <f t="shared" ref="CS22" si="228">DATE(CK$5,9,1)</f>
        <v>48092</v>
      </c>
      <c r="CT22" s="21">
        <f t="shared" ref="CT22" si="229">DATE(CK$5,10,1)</f>
        <v>48122</v>
      </c>
      <c r="CU22" s="21">
        <f t="shared" ref="CU22" si="230">DATE(CK$5,11,1)</f>
        <v>48153</v>
      </c>
      <c r="CV22" s="21">
        <f t="shared" ref="CV22" si="231">DATE(CK$5,12,1)</f>
        <v>48183</v>
      </c>
      <c r="CW22" s="22">
        <f>$E5+6</f>
        <v>2031</v>
      </c>
      <c r="CY22" s="21">
        <f t="shared" ref="CY22" si="232">DATE(CY$5,1,1)</f>
        <v>48214</v>
      </c>
      <c r="CZ22" s="21">
        <f t="shared" ref="CZ22" si="233">DATE(CY$5,2,1)</f>
        <v>48245</v>
      </c>
      <c r="DA22" s="21">
        <f t="shared" ref="DA22" si="234">DATE(CY$5,3,1)</f>
        <v>48274</v>
      </c>
      <c r="DB22" s="21">
        <f t="shared" ref="DB22" si="235">DATE(CY$5,4,1)</f>
        <v>48305</v>
      </c>
      <c r="DC22" s="21">
        <f t="shared" ref="DC22" si="236">DATE(CY$5,5,1)</f>
        <v>48335</v>
      </c>
      <c r="DD22" s="21">
        <f t="shared" ref="DD22" si="237">DATE(CY$5,6,1)</f>
        <v>48366</v>
      </c>
      <c r="DE22" s="21">
        <f t="shared" ref="DE22" si="238">DATE(CY$5,7,1)</f>
        <v>48396</v>
      </c>
      <c r="DF22" s="21">
        <f t="shared" ref="DF22" si="239">DATE(CY$5,8,1)</f>
        <v>48427</v>
      </c>
      <c r="DG22" s="21">
        <f t="shared" ref="DG22" si="240">DATE(CY$5,9,1)</f>
        <v>48458</v>
      </c>
      <c r="DH22" s="21">
        <f t="shared" ref="DH22" si="241">DATE(CY$5,10,1)</f>
        <v>48488</v>
      </c>
      <c r="DI22" s="21">
        <f t="shared" ref="DI22" si="242">DATE(CY$5,11,1)</f>
        <v>48519</v>
      </c>
      <c r="DJ22" s="21">
        <f t="shared" ref="DJ22" si="243">DATE(CY$5,12,1)</f>
        <v>48549</v>
      </c>
      <c r="DK22" s="22">
        <f>$E5+7</f>
        <v>2032</v>
      </c>
    </row>
    <row r="23" spans="3:115" x14ac:dyDescent="0.25">
      <c r="C23" s="15" t="s">
        <v>15</v>
      </c>
      <c r="D23" s="16"/>
      <c r="E23" s="17">
        <v>1200</v>
      </c>
      <c r="F23" s="17">
        <v>1200</v>
      </c>
      <c r="G23" s="17">
        <v>1200</v>
      </c>
      <c r="H23" s="17">
        <v>1200</v>
      </c>
      <c r="I23" s="17">
        <v>1200</v>
      </c>
      <c r="J23" s="17">
        <v>1200</v>
      </c>
      <c r="K23" s="17">
        <v>1200</v>
      </c>
      <c r="L23" s="17">
        <v>1200</v>
      </c>
      <c r="M23" s="17">
        <v>1200</v>
      </c>
      <c r="N23" s="17">
        <v>1200</v>
      </c>
      <c r="O23" s="17">
        <v>1200</v>
      </c>
      <c r="P23" s="17">
        <v>1200</v>
      </c>
      <c r="Q23" s="20">
        <f t="shared" ref="Q23:Q30" si="244">SUM(E23:P23)</f>
        <v>14400</v>
      </c>
      <c r="S23" s="17"/>
      <c r="T23" s="17"/>
      <c r="U23" s="17"/>
      <c r="V23" s="17"/>
      <c r="W23" s="17"/>
      <c r="X23" s="17"/>
      <c r="Y23" s="17"/>
      <c r="Z23" s="17"/>
      <c r="AA23" s="17"/>
      <c r="AB23" s="17"/>
      <c r="AC23" s="17"/>
      <c r="AD23" s="17"/>
      <c r="AE23" s="20">
        <f>SUM(S23:AD23)</f>
        <v>0</v>
      </c>
      <c r="AG23" s="17"/>
      <c r="AH23" s="17"/>
      <c r="AI23" s="17"/>
      <c r="AJ23" s="17"/>
      <c r="AK23" s="17"/>
      <c r="AL23" s="17"/>
      <c r="AM23" s="17"/>
      <c r="AN23" s="17"/>
      <c r="AO23" s="17"/>
      <c r="AP23" s="17"/>
      <c r="AQ23" s="17"/>
      <c r="AR23" s="17"/>
      <c r="AS23" s="20">
        <f t="shared" ref="AS23:AS32" si="245">SUM(AG23:AR23)</f>
        <v>0</v>
      </c>
      <c r="AU23" s="17"/>
      <c r="AV23" s="17"/>
      <c r="AW23" s="17"/>
      <c r="AX23" s="17"/>
      <c r="AY23" s="17"/>
      <c r="AZ23" s="17"/>
      <c r="BA23" s="17"/>
      <c r="BB23" s="17"/>
      <c r="BC23" s="17"/>
      <c r="BD23" s="17"/>
      <c r="BE23" s="17"/>
      <c r="BF23" s="17"/>
      <c r="BG23" s="20">
        <f t="shared" ref="BG23:BG32" si="246">SUM(AU23:BF23)</f>
        <v>0</v>
      </c>
      <c r="BI23" s="17"/>
      <c r="BJ23" s="17"/>
      <c r="BK23" s="17"/>
      <c r="BL23" s="17"/>
      <c r="BM23" s="17"/>
      <c r="BN23" s="17"/>
      <c r="BO23" s="17"/>
      <c r="BP23" s="17"/>
      <c r="BQ23" s="17"/>
      <c r="BR23" s="17"/>
      <c r="BS23" s="17"/>
      <c r="BT23" s="17"/>
      <c r="BU23" s="20">
        <f t="shared" ref="BU23:BU32" si="247">SUM(BI23:BT23)</f>
        <v>0</v>
      </c>
      <c r="BW23" s="17"/>
      <c r="BX23" s="17"/>
      <c r="BY23" s="17"/>
      <c r="BZ23" s="17"/>
      <c r="CA23" s="17"/>
      <c r="CB23" s="17"/>
      <c r="CC23" s="17"/>
      <c r="CD23" s="17"/>
      <c r="CE23" s="17"/>
      <c r="CF23" s="17"/>
      <c r="CG23" s="17"/>
      <c r="CH23" s="17"/>
      <c r="CI23" s="20">
        <f t="shared" ref="CI23:CI32" si="248">SUM(BW23:CH23)</f>
        <v>0</v>
      </c>
      <c r="CK23" s="17"/>
      <c r="CL23" s="17"/>
      <c r="CM23" s="17"/>
      <c r="CN23" s="17"/>
      <c r="CO23" s="17"/>
      <c r="CP23" s="17"/>
      <c r="CQ23" s="17"/>
      <c r="CR23" s="17"/>
      <c r="CS23" s="17"/>
      <c r="CT23" s="17"/>
      <c r="CU23" s="17"/>
      <c r="CV23" s="17"/>
      <c r="CW23" s="20">
        <f t="shared" ref="CW23:CW32" si="249">SUM(CK23:CV23)</f>
        <v>0</v>
      </c>
      <c r="CY23" s="17"/>
      <c r="CZ23" s="17"/>
      <c r="DA23" s="17"/>
      <c r="DB23" s="17"/>
      <c r="DC23" s="17"/>
      <c r="DD23" s="17"/>
      <c r="DE23" s="17"/>
      <c r="DF23" s="17"/>
      <c r="DG23" s="17"/>
      <c r="DH23" s="17"/>
      <c r="DI23" s="17"/>
      <c r="DJ23" s="17"/>
      <c r="DK23" s="20">
        <f t="shared" ref="DK23:DK32" si="250">SUM(CY23:DJ23)</f>
        <v>0</v>
      </c>
    </row>
    <row r="24" spans="3:115" x14ac:dyDescent="0.25">
      <c r="C24" s="15" t="s">
        <v>116</v>
      </c>
      <c r="D24" s="16"/>
      <c r="E24" s="17">
        <v>200</v>
      </c>
      <c r="F24" s="17">
        <v>200</v>
      </c>
      <c r="G24" s="17">
        <v>200</v>
      </c>
      <c r="H24" s="17">
        <v>200</v>
      </c>
      <c r="I24" s="17">
        <v>200</v>
      </c>
      <c r="J24" s="17">
        <v>200</v>
      </c>
      <c r="K24" s="17">
        <v>200</v>
      </c>
      <c r="L24" s="17">
        <v>200</v>
      </c>
      <c r="M24" s="17">
        <v>200</v>
      </c>
      <c r="N24" s="17">
        <v>400</v>
      </c>
      <c r="O24" s="17">
        <v>200</v>
      </c>
      <c r="P24" s="17"/>
      <c r="Q24" s="20">
        <f t="shared" si="244"/>
        <v>2400</v>
      </c>
      <c r="S24" s="17"/>
      <c r="T24" s="17"/>
      <c r="U24" s="17"/>
      <c r="V24" s="17"/>
      <c r="W24" s="17"/>
      <c r="X24" s="17"/>
      <c r="Y24" s="17"/>
      <c r="Z24" s="17"/>
      <c r="AA24" s="17"/>
      <c r="AB24" s="17"/>
      <c r="AC24" s="17"/>
      <c r="AD24" s="17"/>
      <c r="AE24" s="20">
        <f t="shared" ref="AE24:AE32" si="251">SUM(S24:AD24)</f>
        <v>0</v>
      </c>
      <c r="AG24" s="17"/>
      <c r="AH24" s="17"/>
      <c r="AI24" s="17"/>
      <c r="AJ24" s="17"/>
      <c r="AK24" s="17"/>
      <c r="AL24" s="17"/>
      <c r="AM24" s="17"/>
      <c r="AN24" s="17"/>
      <c r="AO24" s="17"/>
      <c r="AP24" s="17"/>
      <c r="AQ24" s="17"/>
      <c r="AR24" s="17"/>
      <c r="AS24" s="20">
        <f t="shared" si="245"/>
        <v>0</v>
      </c>
      <c r="AU24" s="17"/>
      <c r="AV24" s="17"/>
      <c r="AW24" s="17"/>
      <c r="AX24" s="17"/>
      <c r="AY24" s="17"/>
      <c r="AZ24" s="17"/>
      <c r="BA24" s="17"/>
      <c r="BB24" s="17"/>
      <c r="BC24" s="17"/>
      <c r="BD24" s="17"/>
      <c r="BE24" s="17"/>
      <c r="BF24" s="17"/>
      <c r="BG24" s="20">
        <f t="shared" si="246"/>
        <v>0</v>
      </c>
      <c r="BI24" s="17"/>
      <c r="BJ24" s="17"/>
      <c r="BK24" s="17"/>
      <c r="BL24" s="17"/>
      <c r="BM24" s="17"/>
      <c r="BN24" s="17"/>
      <c r="BO24" s="17"/>
      <c r="BP24" s="17"/>
      <c r="BQ24" s="17"/>
      <c r="BR24" s="17"/>
      <c r="BS24" s="17"/>
      <c r="BT24" s="17"/>
      <c r="BU24" s="20">
        <f t="shared" si="247"/>
        <v>0</v>
      </c>
      <c r="BW24" s="17"/>
      <c r="BX24" s="17"/>
      <c r="BY24" s="17"/>
      <c r="BZ24" s="17"/>
      <c r="CA24" s="17"/>
      <c r="CB24" s="17"/>
      <c r="CC24" s="17"/>
      <c r="CD24" s="17"/>
      <c r="CE24" s="17"/>
      <c r="CF24" s="17"/>
      <c r="CG24" s="17"/>
      <c r="CH24" s="17"/>
      <c r="CI24" s="20">
        <f t="shared" si="248"/>
        <v>0</v>
      </c>
      <c r="CK24" s="17"/>
      <c r="CL24" s="17"/>
      <c r="CM24" s="17"/>
      <c r="CN24" s="17"/>
      <c r="CO24" s="17"/>
      <c r="CP24" s="17"/>
      <c r="CQ24" s="17"/>
      <c r="CR24" s="17"/>
      <c r="CS24" s="17"/>
      <c r="CT24" s="17"/>
      <c r="CU24" s="17"/>
      <c r="CV24" s="17"/>
      <c r="CW24" s="20">
        <f t="shared" si="249"/>
        <v>0</v>
      </c>
      <c r="CY24" s="17"/>
      <c r="CZ24" s="17"/>
      <c r="DA24" s="17"/>
      <c r="DB24" s="17"/>
      <c r="DC24" s="17"/>
      <c r="DD24" s="17"/>
      <c r="DE24" s="17"/>
      <c r="DF24" s="17"/>
      <c r="DG24" s="17"/>
      <c r="DH24" s="17"/>
      <c r="DI24" s="17"/>
      <c r="DJ24" s="17"/>
      <c r="DK24" s="20">
        <f t="shared" si="250"/>
        <v>0</v>
      </c>
    </row>
    <row r="25" spans="3:115" x14ac:dyDescent="0.25">
      <c r="C25" s="15" t="s">
        <v>16</v>
      </c>
      <c r="D25" s="16"/>
      <c r="E25" s="17">
        <v>800</v>
      </c>
      <c r="F25" s="17">
        <v>800</v>
      </c>
      <c r="G25" s="17">
        <v>800</v>
      </c>
      <c r="H25" s="17">
        <v>800</v>
      </c>
      <c r="I25" s="17">
        <v>800</v>
      </c>
      <c r="J25" s="17">
        <v>800</v>
      </c>
      <c r="K25" s="17">
        <v>800</v>
      </c>
      <c r="L25" s="17">
        <v>800</v>
      </c>
      <c r="M25" s="17">
        <v>800</v>
      </c>
      <c r="N25" s="17">
        <v>800</v>
      </c>
      <c r="O25" s="17"/>
      <c r="P25" s="17"/>
      <c r="Q25" s="20">
        <f t="shared" si="244"/>
        <v>8000</v>
      </c>
      <c r="S25" s="17"/>
      <c r="T25" s="17"/>
      <c r="U25" s="17"/>
      <c r="V25" s="17"/>
      <c r="W25" s="17"/>
      <c r="X25" s="17"/>
      <c r="Y25" s="17"/>
      <c r="Z25" s="17"/>
      <c r="AA25" s="17"/>
      <c r="AB25" s="17"/>
      <c r="AC25" s="17"/>
      <c r="AD25" s="17"/>
      <c r="AE25" s="20">
        <f t="shared" si="251"/>
        <v>0</v>
      </c>
      <c r="AG25" s="17"/>
      <c r="AH25" s="17"/>
      <c r="AI25" s="17"/>
      <c r="AJ25" s="17"/>
      <c r="AK25" s="17"/>
      <c r="AL25" s="17"/>
      <c r="AM25" s="17"/>
      <c r="AN25" s="17"/>
      <c r="AO25" s="17"/>
      <c r="AP25" s="17"/>
      <c r="AQ25" s="17"/>
      <c r="AR25" s="17"/>
      <c r="AS25" s="20">
        <f t="shared" si="245"/>
        <v>0</v>
      </c>
      <c r="AU25" s="17"/>
      <c r="AV25" s="17"/>
      <c r="AW25" s="17"/>
      <c r="AX25" s="17"/>
      <c r="AY25" s="17"/>
      <c r="AZ25" s="17"/>
      <c r="BA25" s="17"/>
      <c r="BB25" s="17"/>
      <c r="BC25" s="17"/>
      <c r="BD25" s="17"/>
      <c r="BE25" s="17"/>
      <c r="BF25" s="17"/>
      <c r="BG25" s="20">
        <f t="shared" si="246"/>
        <v>0</v>
      </c>
      <c r="BI25" s="17"/>
      <c r="BJ25" s="17"/>
      <c r="BK25" s="17"/>
      <c r="BL25" s="17"/>
      <c r="BM25" s="17"/>
      <c r="BN25" s="17"/>
      <c r="BO25" s="17"/>
      <c r="BP25" s="17"/>
      <c r="BQ25" s="17"/>
      <c r="BR25" s="17"/>
      <c r="BS25" s="17"/>
      <c r="BT25" s="17"/>
      <c r="BU25" s="20">
        <f t="shared" si="247"/>
        <v>0</v>
      </c>
      <c r="BW25" s="17"/>
      <c r="BX25" s="17"/>
      <c r="BY25" s="17"/>
      <c r="BZ25" s="17"/>
      <c r="CA25" s="17"/>
      <c r="CB25" s="17"/>
      <c r="CC25" s="17"/>
      <c r="CD25" s="17"/>
      <c r="CE25" s="17"/>
      <c r="CF25" s="17"/>
      <c r="CG25" s="17"/>
      <c r="CH25" s="17"/>
      <c r="CI25" s="20">
        <f t="shared" si="248"/>
        <v>0</v>
      </c>
      <c r="CK25" s="17"/>
      <c r="CL25" s="17"/>
      <c r="CM25" s="17"/>
      <c r="CN25" s="17"/>
      <c r="CO25" s="17"/>
      <c r="CP25" s="17"/>
      <c r="CQ25" s="17"/>
      <c r="CR25" s="17"/>
      <c r="CS25" s="17"/>
      <c r="CT25" s="17"/>
      <c r="CU25" s="17"/>
      <c r="CV25" s="17"/>
      <c r="CW25" s="20">
        <f t="shared" si="249"/>
        <v>0</v>
      </c>
      <c r="CY25" s="17"/>
      <c r="CZ25" s="17"/>
      <c r="DA25" s="17"/>
      <c r="DB25" s="17"/>
      <c r="DC25" s="17"/>
      <c r="DD25" s="17"/>
      <c r="DE25" s="17"/>
      <c r="DF25" s="17"/>
      <c r="DG25" s="17"/>
      <c r="DH25" s="17"/>
      <c r="DI25" s="17"/>
      <c r="DJ25" s="17"/>
      <c r="DK25" s="20">
        <f t="shared" si="250"/>
        <v>0</v>
      </c>
    </row>
    <row r="26" spans="3:115" x14ac:dyDescent="0.25">
      <c r="C26" s="15" t="s">
        <v>115</v>
      </c>
      <c r="D26" s="16"/>
      <c r="E26" s="17">
        <v>100</v>
      </c>
      <c r="F26" s="17">
        <v>100</v>
      </c>
      <c r="G26" s="17">
        <v>100</v>
      </c>
      <c r="H26" s="17">
        <v>100</v>
      </c>
      <c r="I26" s="17">
        <v>100</v>
      </c>
      <c r="J26" s="17">
        <v>100</v>
      </c>
      <c r="K26" s="17">
        <v>100</v>
      </c>
      <c r="L26" s="17">
        <v>100</v>
      </c>
      <c r="M26" s="17">
        <v>100</v>
      </c>
      <c r="N26" s="17">
        <v>100</v>
      </c>
      <c r="O26" s="17">
        <v>100</v>
      </c>
      <c r="P26" s="17"/>
      <c r="Q26" s="20">
        <f t="shared" si="244"/>
        <v>1100</v>
      </c>
      <c r="S26" s="17"/>
      <c r="T26" s="17"/>
      <c r="U26" s="17"/>
      <c r="V26" s="17"/>
      <c r="W26" s="17"/>
      <c r="X26" s="17"/>
      <c r="Y26" s="17"/>
      <c r="Z26" s="17"/>
      <c r="AA26" s="17"/>
      <c r="AB26" s="17"/>
      <c r="AC26" s="17"/>
      <c r="AD26" s="17"/>
      <c r="AE26" s="20">
        <f t="shared" si="251"/>
        <v>0</v>
      </c>
      <c r="AG26" s="17"/>
      <c r="AH26" s="17"/>
      <c r="AI26" s="17"/>
      <c r="AJ26" s="17"/>
      <c r="AK26" s="17"/>
      <c r="AL26" s="17"/>
      <c r="AM26" s="17"/>
      <c r="AN26" s="17"/>
      <c r="AO26" s="17"/>
      <c r="AP26" s="17"/>
      <c r="AQ26" s="17"/>
      <c r="AR26" s="17"/>
      <c r="AS26" s="20">
        <f t="shared" si="245"/>
        <v>0</v>
      </c>
      <c r="AU26" s="17"/>
      <c r="AV26" s="17"/>
      <c r="AW26" s="17"/>
      <c r="AX26" s="17"/>
      <c r="AY26" s="17"/>
      <c r="AZ26" s="17"/>
      <c r="BA26" s="17"/>
      <c r="BB26" s="17"/>
      <c r="BC26" s="17"/>
      <c r="BD26" s="17"/>
      <c r="BE26" s="17"/>
      <c r="BF26" s="17"/>
      <c r="BG26" s="20">
        <f t="shared" si="246"/>
        <v>0</v>
      </c>
      <c r="BI26" s="17"/>
      <c r="BJ26" s="17"/>
      <c r="BK26" s="17"/>
      <c r="BL26" s="17"/>
      <c r="BM26" s="17"/>
      <c r="BN26" s="17"/>
      <c r="BO26" s="17"/>
      <c r="BP26" s="17"/>
      <c r="BQ26" s="17"/>
      <c r="BR26" s="17"/>
      <c r="BS26" s="17"/>
      <c r="BT26" s="17"/>
      <c r="BU26" s="20">
        <f t="shared" si="247"/>
        <v>0</v>
      </c>
      <c r="BW26" s="17"/>
      <c r="BX26" s="17"/>
      <c r="BY26" s="17"/>
      <c r="BZ26" s="17"/>
      <c r="CA26" s="17"/>
      <c r="CB26" s="17"/>
      <c r="CC26" s="17"/>
      <c r="CD26" s="17"/>
      <c r="CE26" s="17"/>
      <c r="CF26" s="17"/>
      <c r="CG26" s="17"/>
      <c r="CH26" s="17"/>
      <c r="CI26" s="20">
        <f t="shared" si="248"/>
        <v>0</v>
      </c>
      <c r="CK26" s="17"/>
      <c r="CL26" s="17"/>
      <c r="CM26" s="17"/>
      <c r="CN26" s="17"/>
      <c r="CO26" s="17"/>
      <c r="CP26" s="17"/>
      <c r="CQ26" s="17"/>
      <c r="CR26" s="17"/>
      <c r="CS26" s="17"/>
      <c r="CT26" s="17"/>
      <c r="CU26" s="17"/>
      <c r="CV26" s="17"/>
      <c r="CW26" s="20">
        <f t="shared" si="249"/>
        <v>0</v>
      </c>
      <c r="CY26" s="17"/>
      <c r="CZ26" s="17"/>
      <c r="DA26" s="17"/>
      <c r="DB26" s="17"/>
      <c r="DC26" s="17"/>
      <c r="DD26" s="17"/>
      <c r="DE26" s="17"/>
      <c r="DF26" s="17"/>
      <c r="DG26" s="17"/>
      <c r="DH26" s="17"/>
      <c r="DI26" s="17"/>
      <c r="DJ26" s="17"/>
      <c r="DK26" s="20">
        <f t="shared" si="250"/>
        <v>0</v>
      </c>
    </row>
    <row r="27" spans="3:115" x14ac:dyDescent="0.25">
      <c r="C27" s="15" t="s">
        <v>117</v>
      </c>
      <c r="D27" s="16"/>
      <c r="E27" s="17">
        <v>200</v>
      </c>
      <c r="F27" s="17">
        <v>200</v>
      </c>
      <c r="G27" s="17">
        <v>200</v>
      </c>
      <c r="H27" s="17">
        <v>200</v>
      </c>
      <c r="I27" s="17">
        <v>200</v>
      </c>
      <c r="J27" s="17">
        <v>200</v>
      </c>
      <c r="K27" s="17">
        <v>200</v>
      </c>
      <c r="L27" s="17">
        <v>200</v>
      </c>
      <c r="M27" s="17">
        <v>200</v>
      </c>
      <c r="N27" s="17">
        <v>200</v>
      </c>
      <c r="O27" s="17"/>
      <c r="P27" s="17"/>
      <c r="Q27" s="20">
        <f t="shared" si="244"/>
        <v>2000</v>
      </c>
      <c r="S27" s="17"/>
      <c r="T27" s="17"/>
      <c r="U27" s="17"/>
      <c r="V27" s="17"/>
      <c r="W27" s="17"/>
      <c r="X27" s="17"/>
      <c r="Y27" s="17"/>
      <c r="Z27" s="17"/>
      <c r="AA27" s="17"/>
      <c r="AB27" s="17"/>
      <c r="AC27" s="17"/>
      <c r="AD27" s="17"/>
      <c r="AE27" s="20">
        <f t="shared" si="251"/>
        <v>0</v>
      </c>
      <c r="AG27" s="17"/>
      <c r="AH27" s="17"/>
      <c r="AI27" s="17"/>
      <c r="AJ27" s="17"/>
      <c r="AK27" s="17"/>
      <c r="AL27" s="17"/>
      <c r="AM27" s="17"/>
      <c r="AN27" s="17"/>
      <c r="AO27" s="17"/>
      <c r="AP27" s="17"/>
      <c r="AQ27" s="17"/>
      <c r="AR27" s="17"/>
      <c r="AS27" s="20">
        <f t="shared" si="245"/>
        <v>0</v>
      </c>
      <c r="AU27" s="17"/>
      <c r="AV27" s="17"/>
      <c r="AW27" s="17"/>
      <c r="AX27" s="17"/>
      <c r="AY27" s="17"/>
      <c r="AZ27" s="17"/>
      <c r="BA27" s="17"/>
      <c r="BB27" s="17"/>
      <c r="BC27" s="17"/>
      <c r="BD27" s="17"/>
      <c r="BE27" s="17"/>
      <c r="BF27" s="17"/>
      <c r="BG27" s="20">
        <f t="shared" si="246"/>
        <v>0</v>
      </c>
      <c r="BI27" s="17"/>
      <c r="BJ27" s="17"/>
      <c r="BK27" s="17"/>
      <c r="BL27" s="17"/>
      <c r="BM27" s="17"/>
      <c r="BN27" s="17"/>
      <c r="BO27" s="17"/>
      <c r="BP27" s="17"/>
      <c r="BQ27" s="17"/>
      <c r="BR27" s="17"/>
      <c r="BS27" s="17"/>
      <c r="BT27" s="17"/>
      <c r="BU27" s="20">
        <f t="shared" si="247"/>
        <v>0</v>
      </c>
      <c r="BW27" s="17"/>
      <c r="BX27" s="17"/>
      <c r="BY27" s="17"/>
      <c r="BZ27" s="17"/>
      <c r="CA27" s="17"/>
      <c r="CB27" s="17"/>
      <c r="CC27" s="17"/>
      <c r="CD27" s="17"/>
      <c r="CE27" s="17"/>
      <c r="CF27" s="17"/>
      <c r="CG27" s="17"/>
      <c r="CH27" s="17"/>
      <c r="CI27" s="20">
        <f t="shared" si="248"/>
        <v>0</v>
      </c>
      <c r="CK27" s="17"/>
      <c r="CL27" s="17"/>
      <c r="CM27" s="17"/>
      <c r="CN27" s="17"/>
      <c r="CO27" s="17"/>
      <c r="CP27" s="17"/>
      <c r="CQ27" s="17"/>
      <c r="CR27" s="17"/>
      <c r="CS27" s="17"/>
      <c r="CT27" s="17"/>
      <c r="CU27" s="17"/>
      <c r="CV27" s="17"/>
      <c r="CW27" s="20">
        <f t="shared" si="249"/>
        <v>0</v>
      </c>
      <c r="CY27" s="17"/>
      <c r="CZ27" s="17"/>
      <c r="DA27" s="17"/>
      <c r="DB27" s="17"/>
      <c r="DC27" s="17"/>
      <c r="DD27" s="17"/>
      <c r="DE27" s="17"/>
      <c r="DF27" s="17"/>
      <c r="DG27" s="17"/>
      <c r="DH27" s="17"/>
      <c r="DI27" s="17"/>
      <c r="DJ27" s="17"/>
      <c r="DK27" s="20">
        <f t="shared" si="250"/>
        <v>0</v>
      </c>
    </row>
    <row r="28" spans="3:115" x14ac:dyDescent="0.25">
      <c r="C28" s="15" t="s">
        <v>118</v>
      </c>
      <c r="D28" s="16"/>
      <c r="E28" s="17">
        <v>300</v>
      </c>
      <c r="F28" s="17">
        <v>300</v>
      </c>
      <c r="G28" s="17">
        <v>200</v>
      </c>
      <c r="H28" s="17">
        <v>200</v>
      </c>
      <c r="I28" s="17">
        <v>200</v>
      </c>
      <c r="J28" s="17">
        <v>200</v>
      </c>
      <c r="K28" s="17">
        <v>200</v>
      </c>
      <c r="L28" s="17">
        <v>200</v>
      </c>
      <c r="M28" s="17">
        <v>200</v>
      </c>
      <c r="N28" s="17">
        <v>0</v>
      </c>
      <c r="O28" s="17">
        <v>0</v>
      </c>
      <c r="P28" s="17">
        <v>0</v>
      </c>
      <c r="Q28" s="20">
        <f t="shared" si="244"/>
        <v>2000</v>
      </c>
      <c r="S28" s="17"/>
      <c r="T28" s="17"/>
      <c r="U28" s="17"/>
      <c r="V28" s="17"/>
      <c r="W28" s="17"/>
      <c r="X28" s="17"/>
      <c r="Y28" s="17"/>
      <c r="Z28" s="17"/>
      <c r="AA28" s="17"/>
      <c r="AB28" s="17"/>
      <c r="AC28" s="17"/>
      <c r="AD28" s="17"/>
      <c r="AE28" s="20">
        <f t="shared" si="251"/>
        <v>0</v>
      </c>
      <c r="AG28" s="17"/>
      <c r="AH28" s="17"/>
      <c r="AI28" s="17"/>
      <c r="AJ28" s="17"/>
      <c r="AK28" s="17"/>
      <c r="AL28" s="17"/>
      <c r="AM28" s="17"/>
      <c r="AN28" s="17"/>
      <c r="AO28" s="17"/>
      <c r="AP28" s="17"/>
      <c r="AQ28" s="17"/>
      <c r="AR28" s="17"/>
      <c r="AS28" s="20">
        <f t="shared" si="245"/>
        <v>0</v>
      </c>
      <c r="AU28" s="17"/>
      <c r="AV28" s="17"/>
      <c r="AW28" s="17"/>
      <c r="AX28" s="17"/>
      <c r="AY28" s="17"/>
      <c r="AZ28" s="17"/>
      <c r="BA28" s="17"/>
      <c r="BB28" s="17"/>
      <c r="BC28" s="17"/>
      <c r="BD28" s="17"/>
      <c r="BE28" s="17"/>
      <c r="BF28" s="17"/>
      <c r="BG28" s="20">
        <f t="shared" si="246"/>
        <v>0</v>
      </c>
      <c r="BI28" s="17"/>
      <c r="BJ28" s="17"/>
      <c r="BK28" s="17"/>
      <c r="BL28" s="17"/>
      <c r="BM28" s="17"/>
      <c r="BN28" s="17"/>
      <c r="BO28" s="17"/>
      <c r="BP28" s="17"/>
      <c r="BQ28" s="17"/>
      <c r="BR28" s="17"/>
      <c r="BS28" s="17"/>
      <c r="BT28" s="17"/>
      <c r="BU28" s="20">
        <f t="shared" si="247"/>
        <v>0</v>
      </c>
      <c r="BW28" s="17"/>
      <c r="BX28" s="17"/>
      <c r="BY28" s="17"/>
      <c r="BZ28" s="17"/>
      <c r="CA28" s="17"/>
      <c r="CB28" s="17"/>
      <c r="CC28" s="17"/>
      <c r="CD28" s="17"/>
      <c r="CE28" s="17"/>
      <c r="CF28" s="17"/>
      <c r="CG28" s="17"/>
      <c r="CH28" s="17"/>
      <c r="CI28" s="20">
        <f t="shared" si="248"/>
        <v>0</v>
      </c>
      <c r="CK28" s="17"/>
      <c r="CL28" s="17"/>
      <c r="CM28" s="17"/>
      <c r="CN28" s="17"/>
      <c r="CO28" s="17"/>
      <c r="CP28" s="17"/>
      <c r="CQ28" s="17"/>
      <c r="CR28" s="17"/>
      <c r="CS28" s="17"/>
      <c r="CT28" s="17"/>
      <c r="CU28" s="17"/>
      <c r="CV28" s="17"/>
      <c r="CW28" s="20">
        <f t="shared" si="249"/>
        <v>0</v>
      </c>
      <c r="CY28" s="17"/>
      <c r="CZ28" s="17"/>
      <c r="DA28" s="17"/>
      <c r="DB28" s="17"/>
      <c r="DC28" s="17"/>
      <c r="DD28" s="17"/>
      <c r="DE28" s="17"/>
      <c r="DF28" s="17"/>
      <c r="DG28" s="17"/>
      <c r="DH28" s="17"/>
      <c r="DI28" s="17"/>
      <c r="DJ28" s="17"/>
      <c r="DK28" s="20">
        <f t="shared" si="250"/>
        <v>0</v>
      </c>
    </row>
    <row r="29" spans="3:115" x14ac:dyDescent="0.25">
      <c r="C29" s="15" t="s">
        <v>126</v>
      </c>
      <c r="D29" s="16"/>
      <c r="E29" s="17"/>
      <c r="F29" s="17"/>
      <c r="G29" s="17"/>
      <c r="H29" s="17"/>
      <c r="I29" s="17"/>
      <c r="J29" s="17"/>
      <c r="K29" s="17"/>
      <c r="L29" s="17"/>
      <c r="M29" s="17"/>
      <c r="N29" s="17"/>
      <c r="O29" s="17"/>
      <c r="P29" s="17"/>
      <c r="Q29" s="20">
        <f t="shared" si="244"/>
        <v>0</v>
      </c>
      <c r="S29" s="17"/>
      <c r="T29" s="17"/>
      <c r="U29" s="17"/>
      <c r="V29" s="17"/>
      <c r="W29" s="17"/>
      <c r="X29" s="17"/>
      <c r="Y29" s="17"/>
      <c r="Z29" s="17"/>
      <c r="AA29" s="17"/>
      <c r="AB29" s="17"/>
      <c r="AC29" s="17"/>
      <c r="AD29" s="17"/>
      <c r="AE29" s="20">
        <f t="shared" si="251"/>
        <v>0</v>
      </c>
      <c r="AG29" s="17"/>
      <c r="AH29" s="17"/>
      <c r="AI29" s="17"/>
      <c r="AJ29" s="17"/>
      <c r="AK29" s="17"/>
      <c r="AL29" s="17"/>
      <c r="AM29" s="17"/>
      <c r="AN29" s="17"/>
      <c r="AO29" s="17"/>
      <c r="AP29" s="17"/>
      <c r="AQ29" s="17"/>
      <c r="AR29" s="17"/>
      <c r="AS29" s="20">
        <f t="shared" si="245"/>
        <v>0</v>
      </c>
      <c r="AU29" s="17"/>
      <c r="AV29" s="17"/>
      <c r="AW29" s="17"/>
      <c r="AX29" s="17"/>
      <c r="AY29" s="17"/>
      <c r="AZ29" s="17"/>
      <c r="BA29" s="17"/>
      <c r="BB29" s="17"/>
      <c r="BC29" s="17"/>
      <c r="BD29" s="17"/>
      <c r="BE29" s="17"/>
      <c r="BF29" s="17"/>
      <c r="BG29" s="20">
        <f t="shared" si="246"/>
        <v>0</v>
      </c>
      <c r="BI29" s="17"/>
      <c r="BJ29" s="17"/>
      <c r="BK29" s="17"/>
      <c r="BL29" s="17"/>
      <c r="BM29" s="17"/>
      <c r="BN29" s="17"/>
      <c r="BO29" s="17"/>
      <c r="BP29" s="17"/>
      <c r="BQ29" s="17"/>
      <c r="BR29" s="17"/>
      <c r="BS29" s="17"/>
      <c r="BT29" s="17"/>
      <c r="BU29" s="20">
        <f t="shared" si="247"/>
        <v>0</v>
      </c>
      <c r="BW29" s="17"/>
      <c r="BX29" s="17"/>
      <c r="BY29" s="17"/>
      <c r="BZ29" s="17"/>
      <c r="CA29" s="17"/>
      <c r="CB29" s="17"/>
      <c r="CC29" s="17"/>
      <c r="CD29" s="17"/>
      <c r="CE29" s="17"/>
      <c r="CF29" s="17"/>
      <c r="CG29" s="17"/>
      <c r="CH29" s="17"/>
      <c r="CI29" s="20">
        <f t="shared" si="248"/>
        <v>0</v>
      </c>
      <c r="CK29" s="17"/>
      <c r="CL29" s="17"/>
      <c r="CM29" s="17"/>
      <c r="CN29" s="17"/>
      <c r="CO29" s="17"/>
      <c r="CP29" s="17"/>
      <c r="CQ29" s="17"/>
      <c r="CR29" s="17"/>
      <c r="CS29" s="17"/>
      <c r="CT29" s="17"/>
      <c r="CU29" s="17"/>
      <c r="CV29" s="17"/>
      <c r="CW29" s="20">
        <f t="shared" si="249"/>
        <v>0</v>
      </c>
      <c r="CY29" s="17"/>
      <c r="CZ29" s="17"/>
      <c r="DA29" s="17"/>
      <c r="DB29" s="17"/>
      <c r="DC29" s="17"/>
      <c r="DD29" s="17"/>
      <c r="DE29" s="17"/>
      <c r="DF29" s="17"/>
      <c r="DG29" s="17"/>
      <c r="DH29" s="17"/>
      <c r="DI29" s="17"/>
      <c r="DJ29" s="17"/>
      <c r="DK29" s="20">
        <f t="shared" si="250"/>
        <v>0</v>
      </c>
    </row>
    <row r="30" spans="3:115" x14ac:dyDescent="0.25">
      <c r="C30" s="15" t="s">
        <v>121</v>
      </c>
      <c r="D30" s="16"/>
      <c r="E30" s="17"/>
      <c r="F30" s="17"/>
      <c r="G30" s="17"/>
      <c r="H30" s="17"/>
      <c r="I30" s="17"/>
      <c r="J30" s="17"/>
      <c r="K30" s="17"/>
      <c r="L30" s="17"/>
      <c r="M30" s="17"/>
      <c r="N30" s="17"/>
      <c r="O30" s="17"/>
      <c r="P30" s="17"/>
      <c r="Q30" s="20">
        <f t="shared" si="244"/>
        <v>0</v>
      </c>
      <c r="S30" s="17"/>
      <c r="T30" s="17"/>
      <c r="U30" s="17"/>
      <c r="V30" s="17"/>
      <c r="W30" s="17"/>
      <c r="X30" s="17"/>
      <c r="Y30" s="17"/>
      <c r="Z30" s="17"/>
      <c r="AA30" s="17"/>
      <c r="AB30" s="17"/>
      <c r="AC30" s="17"/>
      <c r="AD30" s="17"/>
      <c r="AE30" s="20">
        <f t="shared" si="251"/>
        <v>0</v>
      </c>
      <c r="AG30" s="17"/>
      <c r="AH30" s="17"/>
      <c r="AI30" s="17"/>
      <c r="AJ30" s="17"/>
      <c r="AK30" s="17"/>
      <c r="AL30" s="17"/>
      <c r="AM30" s="17"/>
      <c r="AN30" s="17"/>
      <c r="AO30" s="17"/>
      <c r="AP30" s="17"/>
      <c r="AQ30" s="17"/>
      <c r="AR30" s="17"/>
      <c r="AS30" s="20">
        <f t="shared" si="245"/>
        <v>0</v>
      </c>
      <c r="AU30" s="17"/>
      <c r="AV30" s="17"/>
      <c r="AW30" s="17"/>
      <c r="AX30" s="17"/>
      <c r="AY30" s="17"/>
      <c r="AZ30" s="17"/>
      <c r="BA30" s="17"/>
      <c r="BB30" s="17"/>
      <c r="BC30" s="17"/>
      <c r="BD30" s="17"/>
      <c r="BE30" s="17"/>
      <c r="BF30" s="17"/>
      <c r="BG30" s="20">
        <f t="shared" si="246"/>
        <v>0</v>
      </c>
      <c r="BI30" s="17"/>
      <c r="BJ30" s="17"/>
      <c r="BK30" s="17"/>
      <c r="BL30" s="17"/>
      <c r="BM30" s="17"/>
      <c r="BN30" s="17"/>
      <c r="BO30" s="17"/>
      <c r="BP30" s="17"/>
      <c r="BQ30" s="17"/>
      <c r="BR30" s="17"/>
      <c r="BS30" s="17"/>
      <c r="BT30" s="17"/>
      <c r="BU30" s="20">
        <f t="shared" si="247"/>
        <v>0</v>
      </c>
      <c r="BW30" s="17"/>
      <c r="BX30" s="17"/>
      <c r="BY30" s="17"/>
      <c r="BZ30" s="17"/>
      <c r="CA30" s="17"/>
      <c r="CB30" s="17"/>
      <c r="CC30" s="17"/>
      <c r="CD30" s="17"/>
      <c r="CE30" s="17"/>
      <c r="CF30" s="17"/>
      <c r="CG30" s="17"/>
      <c r="CH30" s="17"/>
      <c r="CI30" s="20">
        <f t="shared" si="248"/>
        <v>0</v>
      </c>
      <c r="CK30" s="17"/>
      <c r="CL30" s="17"/>
      <c r="CM30" s="17"/>
      <c r="CN30" s="17"/>
      <c r="CO30" s="17"/>
      <c r="CP30" s="17"/>
      <c r="CQ30" s="17"/>
      <c r="CR30" s="17"/>
      <c r="CS30" s="17"/>
      <c r="CT30" s="17"/>
      <c r="CU30" s="17"/>
      <c r="CV30" s="17"/>
      <c r="CW30" s="20">
        <f t="shared" si="249"/>
        <v>0</v>
      </c>
      <c r="CY30" s="17"/>
      <c r="CZ30" s="17"/>
      <c r="DA30" s="17"/>
      <c r="DB30" s="17"/>
      <c r="DC30" s="17"/>
      <c r="DD30" s="17"/>
      <c r="DE30" s="17"/>
      <c r="DF30" s="17"/>
      <c r="DG30" s="17"/>
      <c r="DH30" s="17"/>
      <c r="DI30" s="17"/>
      <c r="DJ30" s="17"/>
      <c r="DK30" s="20">
        <f t="shared" si="250"/>
        <v>0</v>
      </c>
    </row>
    <row r="31" spans="3:115" x14ac:dyDescent="0.25">
      <c r="C31" s="15" t="s">
        <v>17</v>
      </c>
      <c r="D31" s="16"/>
      <c r="E31" s="17"/>
      <c r="F31" s="17"/>
      <c r="G31" s="17"/>
      <c r="H31" s="17"/>
      <c r="I31" s="17"/>
      <c r="J31" s="17"/>
      <c r="K31" s="17"/>
      <c r="L31" s="17"/>
      <c r="M31" s="17"/>
      <c r="N31" s="17"/>
      <c r="O31" s="17"/>
      <c r="P31" s="17"/>
      <c r="Q31" s="20">
        <f t="shared" ref="Q31:Q32" si="252">SUM(E31:P31)</f>
        <v>0</v>
      </c>
      <c r="S31" s="17"/>
      <c r="T31" s="17"/>
      <c r="U31" s="17"/>
      <c r="V31" s="17"/>
      <c r="W31" s="17"/>
      <c r="X31" s="17"/>
      <c r="Y31" s="17"/>
      <c r="Z31" s="17"/>
      <c r="AA31" s="17"/>
      <c r="AB31" s="17"/>
      <c r="AC31" s="17"/>
      <c r="AD31" s="17"/>
      <c r="AE31" s="20">
        <f t="shared" si="251"/>
        <v>0</v>
      </c>
      <c r="AG31" s="17"/>
      <c r="AH31" s="17"/>
      <c r="AI31" s="17"/>
      <c r="AJ31" s="17"/>
      <c r="AK31" s="17"/>
      <c r="AL31" s="17"/>
      <c r="AM31" s="17"/>
      <c r="AN31" s="17"/>
      <c r="AO31" s="17"/>
      <c r="AP31" s="17"/>
      <c r="AQ31" s="17"/>
      <c r="AR31" s="17"/>
      <c r="AS31" s="20">
        <f t="shared" si="245"/>
        <v>0</v>
      </c>
      <c r="AU31" s="17"/>
      <c r="AV31" s="17"/>
      <c r="AW31" s="17"/>
      <c r="AX31" s="17"/>
      <c r="AY31" s="17"/>
      <c r="AZ31" s="17"/>
      <c r="BA31" s="17"/>
      <c r="BB31" s="17"/>
      <c r="BC31" s="17"/>
      <c r="BD31" s="17"/>
      <c r="BE31" s="17"/>
      <c r="BF31" s="17"/>
      <c r="BG31" s="20">
        <f t="shared" si="246"/>
        <v>0</v>
      </c>
      <c r="BI31" s="17"/>
      <c r="BJ31" s="17"/>
      <c r="BK31" s="17"/>
      <c r="BL31" s="17"/>
      <c r="BM31" s="17"/>
      <c r="BN31" s="17"/>
      <c r="BO31" s="17"/>
      <c r="BP31" s="17"/>
      <c r="BQ31" s="17"/>
      <c r="BR31" s="17"/>
      <c r="BS31" s="17"/>
      <c r="BT31" s="17"/>
      <c r="BU31" s="20">
        <f t="shared" si="247"/>
        <v>0</v>
      </c>
      <c r="BW31" s="17"/>
      <c r="BX31" s="17"/>
      <c r="BY31" s="17"/>
      <c r="BZ31" s="17"/>
      <c r="CA31" s="17"/>
      <c r="CB31" s="17"/>
      <c r="CC31" s="17"/>
      <c r="CD31" s="17"/>
      <c r="CE31" s="17"/>
      <c r="CF31" s="17"/>
      <c r="CG31" s="17"/>
      <c r="CH31" s="17"/>
      <c r="CI31" s="20">
        <f t="shared" si="248"/>
        <v>0</v>
      </c>
      <c r="CK31" s="17"/>
      <c r="CL31" s="17"/>
      <c r="CM31" s="17"/>
      <c r="CN31" s="17"/>
      <c r="CO31" s="17"/>
      <c r="CP31" s="17"/>
      <c r="CQ31" s="17"/>
      <c r="CR31" s="17"/>
      <c r="CS31" s="17"/>
      <c r="CT31" s="17"/>
      <c r="CU31" s="17"/>
      <c r="CV31" s="17"/>
      <c r="CW31" s="20">
        <f t="shared" si="249"/>
        <v>0</v>
      </c>
      <c r="CY31" s="17"/>
      <c r="CZ31" s="17"/>
      <c r="DA31" s="17"/>
      <c r="DB31" s="17"/>
      <c r="DC31" s="17"/>
      <c r="DD31" s="17"/>
      <c r="DE31" s="17"/>
      <c r="DF31" s="17"/>
      <c r="DG31" s="17"/>
      <c r="DH31" s="17"/>
      <c r="DI31" s="17"/>
      <c r="DJ31" s="17"/>
      <c r="DK31" s="20">
        <f t="shared" si="250"/>
        <v>0</v>
      </c>
    </row>
    <row r="32" spans="3:115" x14ac:dyDescent="0.25">
      <c r="C32" s="15" t="s">
        <v>17</v>
      </c>
      <c r="D32" s="16"/>
      <c r="E32" s="17">
        <v>0</v>
      </c>
      <c r="F32" s="17">
        <v>0</v>
      </c>
      <c r="G32" s="17"/>
      <c r="H32" s="17"/>
      <c r="I32" s="17"/>
      <c r="J32" s="17"/>
      <c r="K32" s="17"/>
      <c r="L32" s="17"/>
      <c r="M32" s="17"/>
      <c r="N32" s="17"/>
      <c r="O32" s="17"/>
      <c r="P32" s="17"/>
      <c r="Q32" s="20">
        <f t="shared" si="252"/>
        <v>0</v>
      </c>
      <c r="S32" s="17"/>
      <c r="T32" s="17"/>
      <c r="U32" s="17"/>
      <c r="V32" s="17"/>
      <c r="W32" s="17"/>
      <c r="X32" s="17"/>
      <c r="Y32" s="17"/>
      <c r="Z32" s="17"/>
      <c r="AA32" s="17"/>
      <c r="AB32" s="17"/>
      <c r="AC32" s="17"/>
      <c r="AD32" s="17"/>
      <c r="AE32" s="20">
        <f t="shared" si="251"/>
        <v>0</v>
      </c>
      <c r="AG32" s="17"/>
      <c r="AH32" s="17"/>
      <c r="AI32" s="17"/>
      <c r="AJ32" s="17"/>
      <c r="AK32" s="17"/>
      <c r="AL32" s="17"/>
      <c r="AM32" s="17"/>
      <c r="AN32" s="17"/>
      <c r="AO32" s="17"/>
      <c r="AP32" s="17"/>
      <c r="AQ32" s="17"/>
      <c r="AR32" s="17"/>
      <c r="AS32" s="20">
        <f t="shared" si="245"/>
        <v>0</v>
      </c>
      <c r="AU32" s="17"/>
      <c r="AV32" s="17"/>
      <c r="AW32" s="17"/>
      <c r="AX32" s="17"/>
      <c r="AY32" s="17"/>
      <c r="AZ32" s="17"/>
      <c r="BA32" s="17"/>
      <c r="BB32" s="17"/>
      <c r="BC32" s="17"/>
      <c r="BD32" s="17"/>
      <c r="BE32" s="17"/>
      <c r="BF32" s="17"/>
      <c r="BG32" s="20">
        <f t="shared" si="246"/>
        <v>0</v>
      </c>
      <c r="BI32" s="17"/>
      <c r="BJ32" s="17"/>
      <c r="BK32" s="17"/>
      <c r="BL32" s="17"/>
      <c r="BM32" s="17"/>
      <c r="BN32" s="17"/>
      <c r="BO32" s="17"/>
      <c r="BP32" s="17"/>
      <c r="BQ32" s="17"/>
      <c r="BR32" s="17"/>
      <c r="BS32" s="17"/>
      <c r="BT32" s="17"/>
      <c r="BU32" s="20">
        <f t="shared" si="247"/>
        <v>0</v>
      </c>
      <c r="BW32" s="17"/>
      <c r="BX32" s="17"/>
      <c r="BY32" s="17"/>
      <c r="BZ32" s="17"/>
      <c r="CA32" s="17"/>
      <c r="CB32" s="17"/>
      <c r="CC32" s="17"/>
      <c r="CD32" s="17"/>
      <c r="CE32" s="17"/>
      <c r="CF32" s="17"/>
      <c r="CG32" s="17"/>
      <c r="CH32" s="17"/>
      <c r="CI32" s="20">
        <f t="shared" si="248"/>
        <v>0</v>
      </c>
      <c r="CK32" s="17"/>
      <c r="CL32" s="17"/>
      <c r="CM32" s="17"/>
      <c r="CN32" s="17"/>
      <c r="CO32" s="17"/>
      <c r="CP32" s="17"/>
      <c r="CQ32" s="17"/>
      <c r="CR32" s="17"/>
      <c r="CS32" s="17"/>
      <c r="CT32" s="17"/>
      <c r="CU32" s="17"/>
      <c r="CV32" s="17"/>
      <c r="CW32" s="20">
        <f t="shared" si="249"/>
        <v>0</v>
      </c>
      <c r="CY32" s="17"/>
      <c r="CZ32" s="17"/>
      <c r="DA32" s="17"/>
      <c r="DB32" s="17"/>
      <c r="DC32" s="17"/>
      <c r="DD32" s="17"/>
      <c r="DE32" s="17"/>
      <c r="DF32" s="17"/>
      <c r="DG32" s="17"/>
      <c r="DH32" s="17"/>
      <c r="DI32" s="17"/>
      <c r="DJ32" s="17"/>
      <c r="DK32" s="20">
        <f t="shared" si="250"/>
        <v>0</v>
      </c>
    </row>
    <row r="33" spans="3:115" x14ac:dyDescent="0.25">
      <c r="C33" s="12" t="s">
        <v>4</v>
      </c>
      <c r="E33" s="19" cm="1">
        <f t="array" aca="1" ref="E33" ca="1">SUM(INDIRECT(ADDRESS(expenses_min_row,COLUMN())&amp;":" &amp; ADDRESS(expenses_max_row, COLUMN())))</f>
        <v>2800</v>
      </c>
      <c r="F33" s="19" cm="1">
        <f t="array" aca="1" ref="F33" ca="1">SUM(INDIRECT(ADDRESS(expenses_min_row,COLUMN())&amp;":" &amp; ADDRESS(expenses_max_row, COLUMN())))</f>
        <v>2800</v>
      </c>
      <c r="G33" s="19" cm="1">
        <f t="array" aca="1" ref="G33" ca="1">SUM(INDIRECT(ADDRESS(expenses_min_row,COLUMN())&amp;":" &amp; ADDRESS(expenses_max_row, COLUMN())))</f>
        <v>2700</v>
      </c>
      <c r="H33" s="19" cm="1">
        <f t="array" aca="1" ref="H33" ca="1">SUM(INDIRECT(ADDRESS(expenses_min_row,COLUMN())&amp;":" &amp; ADDRESS(expenses_max_row, COLUMN())))</f>
        <v>2700</v>
      </c>
      <c r="I33" s="19" cm="1">
        <f t="array" aca="1" ref="I33" ca="1">SUM(INDIRECT(ADDRESS(expenses_min_row,COLUMN())&amp;":" &amp; ADDRESS(expenses_max_row, COLUMN())))</f>
        <v>2700</v>
      </c>
      <c r="J33" s="19" cm="1">
        <f t="array" aca="1" ref="J33" ca="1">SUM(INDIRECT(ADDRESS(expenses_min_row,COLUMN())&amp;":" &amp; ADDRESS(expenses_max_row, COLUMN())))</f>
        <v>2700</v>
      </c>
      <c r="K33" s="19" cm="1">
        <f t="array" aca="1" ref="K33" ca="1">SUM(INDIRECT(ADDRESS(expenses_min_row,COLUMN())&amp;":" &amp; ADDRESS(expenses_max_row, COLUMN())))</f>
        <v>2700</v>
      </c>
      <c r="L33" s="19" cm="1">
        <f t="array" aca="1" ref="L33" ca="1">SUM(INDIRECT(ADDRESS(expenses_min_row,COLUMN())&amp;":" &amp; ADDRESS(expenses_max_row, COLUMN())))</f>
        <v>2700</v>
      </c>
      <c r="M33" s="19" cm="1">
        <f t="array" aca="1" ref="M33" ca="1">SUM(INDIRECT(ADDRESS(expenses_min_row,COLUMN())&amp;":" &amp; ADDRESS(expenses_max_row, COLUMN())))</f>
        <v>2700</v>
      </c>
      <c r="N33" s="19" cm="1">
        <f t="array" aca="1" ref="N33" ca="1">SUM(INDIRECT(ADDRESS(expenses_min_row,COLUMN())&amp;":" &amp; ADDRESS(expenses_max_row, COLUMN())))</f>
        <v>2700</v>
      </c>
      <c r="O33" s="19" cm="1">
        <f t="array" aca="1" ref="O33" ca="1">SUM(INDIRECT(ADDRESS(expenses_min_row,COLUMN())&amp;":" &amp; ADDRESS(expenses_max_row, COLUMN())))</f>
        <v>1500</v>
      </c>
      <c r="P33" s="19" cm="1">
        <f t="array" aca="1" ref="P33" ca="1">SUM(INDIRECT(ADDRESS(expenses_min_row,COLUMN())&amp;":" &amp; ADDRESS(expenses_max_row, COLUMN())))</f>
        <v>1200</v>
      </c>
      <c r="Q33" s="19" cm="1">
        <f t="array" aca="1" ref="Q33" ca="1">SUM(INDIRECT(ADDRESS(expenses_min_row,COLUMN())&amp;":" &amp; ADDRESS(expenses_max_row, COLUMN())))</f>
        <v>29900</v>
      </c>
      <c r="S33" s="19" cm="1">
        <f t="array" aca="1" ref="S33" ca="1">SUM(INDIRECT(ADDRESS(expenses_min_row,COLUMN())&amp;":" &amp; ADDRESS(expenses_max_row, COLUMN())))</f>
        <v>0</v>
      </c>
      <c r="T33" s="19" cm="1">
        <f t="array" aca="1" ref="T33" ca="1">SUM(INDIRECT(ADDRESS(expenses_min_row,COLUMN())&amp;":" &amp; ADDRESS(expenses_max_row, COLUMN())))</f>
        <v>0</v>
      </c>
      <c r="U33" s="19" cm="1">
        <f t="array" aca="1" ref="U33" ca="1">SUM(INDIRECT(ADDRESS(expenses_min_row,COLUMN())&amp;":" &amp; ADDRESS(expenses_max_row, COLUMN())))</f>
        <v>0</v>
      </c>
      <c r="V33" s="19" cm="1">
        <f t="array" aca="1" ref="V33" ca="1">SUM(INDIRECT(ADDRESS(expenses_min_row,COLUMN())&amp;":" &amp; ADDRESS(expenses_max_row, COLUMN())))</f>
        <v>0</v>
      </c>
      <c r="W33" s="19" cm="1">
        <f t="array" aca="1" ref="W33" ca="1">SUM(INDIRECT(ADDRESS(expenses_min_row,COLUMN())&amp;":" &amp; ADDRESS(expenses_max_row, COLUMN())))</f>
        <v>0</v>
      </c>
      <c r="X33" s="19" cm="1">
        <f t="array" aca="1" ref="X33" ca="1">SUM(INDIRECT(ADDRESS(expenses_min_row,COLUMN())&amp;":" &amp; ADDRESS(expenses_max_row, COLUMN())))</f>
        <v>0</v>
      </c>
      <c r="Y33" s="19" cm="1">
        <f t="array" aca="1" ref="Y33" ca="1">SUM(INDIRECT(ADDRESS(expenses_min_row,COLUMN())&amp;":" &amp; ADDRESS(expenses_max_row, COLUMN())))</f>
        <v>0</v>
      </c>
      <c r="Z33" s="19" cm="1">
        <f t="array" aca="1" ref="Z33" ca="1">SUM(INDIRECT(ADDRESS(expenses_min_row,COLUMN())&amp;":" &amp; ADDRESS(expenses_max_row, COLUMN())))</f>
        <v>0</v>
      </c>
      <c r="AA33" s="19" cm="1">
        <f t="array" aca="1" ref="AA33" ca="1">SUM(INDIRECT(ADDRESS(expenses_min_row,COLUMN())&amp;":" &amp; ADDRESS(expenses_max_row, COLUMN())))</f>
        <v>0</v>
      </c>
      <c r="AB33" s="19" cm="1">
        <f t="array" aca="1" ref="AB33" ca="1">SUM(INDIRECT(ADDRESS(expenses_min_row,COLUMN())&amp;":" &amp; ADDRESS(expenses_max_row, COLUMN())))</f>
        <v>0</v>
      </c>
      <c r="AC33" s="19" cm="1">
        <f t="array" aca="1" ref="AC33" ca="1">SUM(INDIRECT(ADDRESS(expenses_min_row,COLUMN())&amp;":" &amp; ADDRESS(expenses_max_row, COLUMN())))</f>
        <v>0</v>
      </c>
      <c r="AD33" s="19" cm="1">
        <f t="array" aca="1" ref="AD33" ca="1">SUM(INDIRECT(ADDRESS(expenses_min_row,COLUMN())&amp;":" &amp; ADDRESS(expenses_max_row, COLUMN())))</f>
        <v>0</v>
      </c>
      <c r="AE33" s="19" cm="1">
        <f t="array" aca="1" ref="AE33" ca="1">SUM(INDIRECT(ADDRESS(expenses_min_row,COLUMN())&amp;":" &amp; ADDRESS(expenses_max_row, COLUMN())))</f>
        <v>0</v>
      </c>
      <c r="AG33" s="19" cm="1">
        <f t="array" aca="1" ref="AG33" ca="1">SUM(INDIRECT(ADDRESS(expenses_min_row,COLUMN())&amp;":" &amp; ADDRESS(expenses_max_row, COLUMN())))</f>
        <v>0</v>
      </c>
      <c r="AH33" s="19" cm="1">
        <f t="array" aca="1" ref="AH33" ca="1">SUM(INDIRECT(ADDRESS(expenses_min_row,COLUMN())&amp;":" &amp; ADDRESS(expenses_max_row, COLUMN())))</f>
        <v>0</v>
      </c>
      <c r="AI33" s="19" cm="1">
        <f t="array" aca="1" ref="AI33" ca="1">SUM(INDIRECT(ADDRESS(expenses_min_row,COLUMN())&amp;":" &amp; ADDRESS(expenses_max_row, COLUMN())))</f>
        <v>0</v>
      </c>
      <c r="AJ33" s="19" cm="1">
        <f t="array" aca="1" ref="AJ33" ca="1">SUM(INDIRECT(ADDRESS(expenses_min_row,COLUMN())&amp;":" &amp; ADDRESS(expenses_max_row, COLUMN())))</f>
        <v>0</v>
      </c>
      <c r="AK33" s="19" cm="1">
        <f t="array" aca="1" ref="AK33" ca="1">SUM(INDIRECT(ADDRESS(expenses_min_row,COLUMN())&amp;":" &amp; ADDRESS(expenses_max_row, COLUMN())))</f>
        <v>0</v>
      </c>
      <c r="AL33" s="19" cm="1">
        <f t="array" aca="1" ref="AL33" ca="1">SUM(INDIRECT(ADDRESS(expenses_min_row,COLUMN())&amp;":" &amp; ADDRESS(expenses_max_row, COLUMN())))</f>
        <v>0</v>
      </c>
      <c r="AM33" s="19" cm="1">
        <f t="array" aca="1" ref="AM33" ca="1">SUM(INDIRECT(ADDRESS(expenses_min_row,COLUMN())&amp;":" &amp; ADDRESS(expenses_max_row, COLUMN())))</f>
        <v>0</v>
      </c>
      <c r="AN33" s="19" cm="1">
        <f t="array" aca="1" ref="AN33" ca="1">SUM(INDIRECT(ADDRESS(expenses_min_row,COLUMN())&amp;":" &amp; ADDRESS(expenses_max_row, COLUMN())))</f>
        <v>0</v>
      </c>
      <c r="AO33" s="19" cm="1">
        <f t="array" aca="1" ref="AO33" ca="1">SUM(INDIRECT(ADDRESS(expenses_min_row,COLUMN())&amp;":" &amp; ADDRESS(expenses_max_row, COLUMN())))</f>
        <v>0</v>
      </c>
      <c r="AP33" s="19" cm="1">
        <f t="array" aca="1" ref="AP33" ca="1">SUM(INDIRECT(ADDRESS(expenses_min_row,COLUMN())&amp;":" &amp; ADDRESS(expenses_max_row, COLUMN())))</f>
        <v>0</v>
      </c>
      <c r="AQ33" s="19" cm="1">
        <f t="array" aca="1" ref="AQ33" ca="1">SUM(INDIRECT(ADDRESS(expenses_min_row,COLUMN())&amp;":" &amp; ADDRESS(expenses_max_row, COLUMN())))</f>
        <v>0</v>
      </c>
      <c r="AR33" s="19" cm="1">
        <f t="array" aca="1" ref="AR33" ca="1">SUM(INDIRECT(ADDRESS(expenses_min_row,COLUMN())&amp;":" &amp; ADDRESS(expenses_max_row, COLUMN())))</f>
        <v>0</v>
      </c>
      <c r="AS33" s="19" cm="1">
        <f t="array" aca="1" ref="AS33" ca="1">SUM(INDIRECT(ADDRESS(expenses_min_row,COLUMN())&amp;":" &amp; ADDRESS(expenses_max_row, COLUMN())))</f>
        <v>0</v>
      </c>
      <c r="AU33" s="19" cm="1">
        <f t="array" aca="1" ref="AU33" ca="1">SUM(INDIRECT(ADDRESS(expenses_min_row,COLUMN())&amp;":" &amp; ADDRESS(expenses_max_row, COLUMN())))</f>
        <v>0</v>
      </c>
      <c r="AV33" s="19" cm="1">
        <f t="array" aca="1" ref="AV33" ca="1">SUM(INDIRECT(ADDRESS(expenses_min_row,COLUMN())&amp;":" &amp; ADDRESS(expenses_max_row, COLUMN())))</f>
        <v>0</v>
      </c>
      <c r="AW33" s="19" cm="1">
        <f t="array" aca="1" ref="AW33" ca="1">SUM(INDIRECT(ADDRESS(expenses_min_row,COLUMN())&amp;":" &amp; ADDRESS(expenses_max_row, COLUMN())))</f>
        <v>0</v>
      </c>
      <c r="AX33" s="19" cm="1">
        <f t="array" aca="1" ref="AX33" ca="1">SUM(INDIRECT(ADDRESS(expenses_min_row,COLUMN())&amp;":" &amp; ADDRESS(expenses_max_row, COLUMN())))</f>
        <v>0</v>
      </c>
      <c r="AY33" s="19" cm="1">
        <f t="array" aca="1" ref="AY33" ca="1">SUM(INDIRECT(ADDRESS(expenses_min_row,COLUMN())&amp;":" &amp; ADDRESS(expenses_max_row, COLUMN())))</f>
        <v>0</v>
      </c>
      <c r="AZ33" s="19" cm="1">
        <f t="array" aca="1" ref="AZ33" ca="1">SUM(INDIRECT(ADDRESS(expenses_min_row,COLUMN())&amp;":" &amp; ADDRESS(expenses_max_row, COLUMN())))</f>
        <v>0</v>
      </c>
      <c r="BA33" s="19" cm="1">
        <f t="array" aca="1" ref="BA33" ca="1">SUM(INDIRECT(ADDRESS(expenses_min_row,COLUMN())&amp;":" &amp; ADDRESS(expenses_max_row, COLUMN())))</f>
        <v>0</v>
      </c>
      <c r="BB33" s="19" cm="1">
        <f t="array" aca="1" ref="BB33" ca="1">SUM(INDIRECT(ADDRESS(expenses_min_row,COLUMN())&amp;":" &amp; ADDRESS(expenses_max_row, COLUMN())))</f>
        <v>0</v>
      </c>
      <c r="BC33" s="19" cm="1">
        <f t="array" aca="1" ref="BC33" ca="1">SUM(INDIRECT(ADDRESS(expenses_min_row,COLUMN())&amp;":" &amp; ADDRESS(expenses_max_row, COLUMN())))</f>
        <v>0</v>
      </c>
      <c r="BD33" s="19" cm="1">
        <f t="array" aca="1" ref="BD33" ca="1">SUM(INDIRECT(ADDRESS(expenses_min_row,COLUMN())&amp;":" &amp; ADDRESS(expenses_max_row, COLUMN())))</f>
        <v>0</v>
      </c>
      <c r="BE33" s="19" cm="1">
        <f t="array" aca="1" ref="BE33" ca="1">SUM(INDIRECT(ADDRESS(expenses_min_row,COLUMN())&amp;":" &amp; ADDRESS(expenses_max_row, COLUMN())))</f>
        <v>0</v>
      </c>
      <c r="BF33" s="19" cm="1">
        <f t="array" aca="1" ref="BF33" ca="1">SUM(INDIRECT(ADDRESS(expenses_min_row,COLUMN())&amp;":" &amp; ADDRESS(expenses_max_row, COLUMN())))</f>
        <v>0</v>
      </c>
      <c r="BG33" s="19" cm="1">
        <f t="array" aca="1" ref="BG33" ca="1">SUM(INDIRECT(ADDRESS(expenses_min_row,COLUMN())&amp;":" &amp; ADDRESS(expenses_max_row, COLUMN())))</f>
        <v>0</v>
      </c>
      <c r="BI33" s="19" cm="1">
        <f t="array" aca="1" ref="BI33" ca="1">SUM(INDIRECT(ADDRESS(expenses_min_row,COLUMN())&amp;":" &amp; ADDRESS(expenses_max_row, COLUMN())))</f>
        <v>0</v>
      </c>
      <c r="BJ33" s="19" cm="1">
        <f t="array" aca="1" ref="BJ33" ca="1">SUM(INDIRECT(ADDRESS(expenses_min_row,COLUMN())&amp;":" &amp; ADDRESS(expenses_max_row, COLUMN())))</f>
        <v>0</v>
      </c>
      <c r="BK33" s="19" cm="1">
        <f t="array" aca="1" ref="BK33" ca="1">SUM(INDIRECT(ADDRESS(expenses_min_row,COLUMN())&amp;":" &amp; ADDRESS(expenses_max_row, COLUMN())))</f>
        <v>0</v>
      </c>
      <c r="BL33" s="19" cm="1">
        <f t="array" aca="1" ref="BL33" ca="1">SUM(INDIRECT(ADDRESS(expenses_min_row,COLUMN())&amp;":" &amp; ADDRESS(expenses_max_row, COLUMN())))</f>
        <v>0</v>
      </c>
      <c r="BM33" s="19" cm="1">
        <f t="array" aca="1" ref="BM33" ca="1">SUM(INDIRECT(ADDRESS(expenses_min_row,COLUMN())&amp;":" &amp; ADDRESS(expenses_max_row, COLUMN())))</f>
        <v>0</v>
      </c>
      <c r="BN33" s="19" cm="1">
        <f t="array" aca="1" ref="BN33" ca="1">SUM(INDIRECT(ADDRESS(expenses_min_row,COLUMN())&amp;":" &amp; ADDRESS(expenses_max_row, COLUMN())))</f>
        <v>0</v>
      </c>
      <c r="BO33" s="19" cm="1">
        <f t="array" aca="1" ref="BO33" ca="1">SUM(INDIRECT(ADDRESS(expenses_min_row,COLUMN())&amp;":" &amp; ADDRESS(expenses_max_row, COLUMN())))</f>
        <v>0</v>
      </c>
      <c r="BP33" s="19" cm="1">
        <f t="array" aca="1" ref="BP33" ca="1">SUM(INDIRECT(ADDRESS(expenses_min_row,COLUMN())&amp;":" &amp; ADDRESS(expenses_max_row, COLUMN())))</f>
        <v>0</v>
      </c>
      <c r="BQ33" s="19" cm="1">
        <f t="array" aca="1" ref="BQ33" ca="1">SUM(INDIRECT(ADDRESS(expenses_min_row,COLUMN())&amp;":" &amp; ADDRESS(expenses_max_row, COLUMN())))</f>
        <v>0</v>
      </c>
      <c r="BR33" s="19" cm="1">
        <f t="array" aca="1" ref="BR33" ca="1">SUM(INDIRECT(ADDRESS(expenses_min_row,COLUMN())&amp;":" &amp; ADDRESS(expenses_max_row, COLUMN())))</f>
        <v>0</v>
      </c>
      <c r="BS33" s="19" cm="1">
        <f t="array" aca="1" ref="BS33" ca="1">SUM(INDIRECT(ADDRESS(expenses_min_row,COLUMN())&amp;":" &amp; ADDRESS(expenses_max_row, COLUMN())))</f>
        <v>0</v>
      </c>
      <c r="BT33" s="19" cm="1">
        <f t="array" aca="1" ref="BT33" ca="1">SUM(INDIRECT(ADDRESS(expenses_min_row,COLUMN())&amp;":" &amp; ADDRESS(expenses_max_row, COLUMN())))</f>
        <v>0</v>
      </c>
      <c r="BU33" s="19" cm="1">
        <f t="array" aca="1" ref="BU33" ca="1">SUM(INDIRECT(ADDRESS(expenses_min_row,COLUMN())&amp;":" &amp; ADDRESS(expenses_max_row, COLUMN())))</f>
        <v>0</v>
      </c>
      <c r="BW33" s="19" cm="1">
        <f t="array" aca="1" ref="BW33" ca="1">SUM(INDIRECT(ADDRESS(expenses_min_row,COLUMN())&amp;":" &amp; ADDRESS(expenses_max_row, COLUMN())))</f>
        <v>0</v>
      </c>
      <c r="BX33" s="19" cm="1">
        <f t="array" aca="1" ref="BX33" ca="1">SUM(INDIRECT(ADDRESS(expenses_min_row,COLUMN())&amp;":" &amp; ADDRESS(expenses_max_row, COLUMN())))</f>
        <v>0</v>
      </c>
      <c r="BY33" s="19" cm="1">
        <f t="array" aca="1" ref="BY33" ca="1">SUM(INDIRECT(ADDRESS(expenses_min_row,COLUMN())&amp;":" &amp; ADDRESS(expenses_max_row, COLUMN())))</f>
        <v>0</v>
      </c>
      <c r="BZ33" s="19" cm="1">
        <f t="array" aca="1" ref="BZ33" ca="1">SUM(INDIRECT(ADDRESS(expenses_min_row,COLUMN())&amp;":" &amp; ADDRESS(expenses_max_row, COLUMN())))</f>
        <v>0</v>
      </c>
      <c r="CA33" s="19" cm="1">
        <f t="array" aca="1" ref="CA33" ca="1">SUM(INDIRECT(ADDRESS(expenses_min_row,COLUMN())&amp;":" &amp; ADDRESS(expenses_max_row, COLUMN())))</f>
        <v>0</v>
      </c>
      <c r="CB33" s="19" cm="1">
        <f t="array" aca="1" ref="CB33" ca="1">SUM(INDIRECT(ADDRESS(expenses_min_row,COLUMN())&amp;":" &amp; ADDRESS(expenses_max_row, COLUMN())))</f>
        <v>0</v>
      </c>
      <c r="CC33" s="19" cm="1">
        <f t="array" aca="1" ref="CC33" ca="1">SUM(INDIRECT(ADDRESS(expenses_min_row,COLUMN())&amp;":" &amp; ADDRESS(expenses_max_row, COLUMN())))</f>
        <v>0</v>
      </c>
      <c r="CD33" s="19" cm="1">
        <f t="array" aca="1" ref="CD33" ca="1">SUM(INDIRECT(ADDRESS(expenses_min_row,COLUMN())&amp;":" &amp; ADDRESS(expenses_max_row, COLUMN())))</f>
        <v>0</v>
      </c>
      <c r="CE33" s="19" cm="1">
        <f t="array" aca="1" ref="CE33" ca="1">SUM(INDIRECT(ADDRESS(expenses_min_row,COLUMN())&amp;":" &amp; ADDRESS(expenses_max_row, COLUMN())))</f>
        <v>0</v>
      </c>
      <c r="CF33" s="19" cm="1">
        <f t="array" aca="1" ref="CF33" ca="1">SUM(INDIRECT(ADDRESS(expenses_min_row,COLUMN())&amp;":" &amp; ADDRESS(expenses_max_row, COLUMN())))</f>
        <v>0</v>
      </c>
      <c r="CG33" s="19" cm="1">
        <f t="array" aca="1" ref="CG33" ca="1">SUM(INDIRECT(ADDRESS(expenses_min_row,COLUMN())&amp;":" &amp; ADDRESS(expenses_max_row, COLUMN())))</f>
        <v>0</v>
      </c>
      <c r="CH33" s="19" cm="1">
        <f t="array" aca="1" ref="CH33" ca="1">SUM(INDIRECT(ADDRESS(expenses_min_row,COLUMN())&amp;":" &amp; ADDRESS(expenses_max_row, COLUMN())))</f>
        <v>0</v>
      </c>
      <c r="CI33" s="19" cm="1">
        <f t="array" aca="1" ref="CI33" ca="1">SUM(INDIRECT(ADDRESS(expenses_min_row,COLUMN())&amp;":" &amp; ADDRESS(expenses_max_row, COLUMN())))</f>
        <v>0</v>
      </c>
      <c r="CK33" s="19" cm="1">
        <f t="array" aca="1" ref="CK33" ca="1">SUM(INDIRECT(ADDRESS(expenses_min_row,COLUMN())&amp;":" &amp; ADDRESS(expenses_max_row, COLUMN())))</f>
        <v>0</v>
      </c>
      <c r="CL33" s="19" cm="1">
        <f t="array" aca="1" ref="CL33" ca="1">SUM(INDIRECT(ADDRESS(expenses_min_row,COLUMN())&amp;":" &amp; ADDRESS(expenses_max_row, COLUMN())))</f>
        <v>0</v>
      </c>
      <c r="CM33" s="19" cm="1">
        <f t="array" aca="1" ref="CM33" ca="1">SUM(INDIRECT(ADDRESS(expenses_min_row,COLUMN())&amp;":" &amp; ADDRESS(expenses_max_row, COLUMN())))</f>
        <v>0</v>
      </c>
      <c r="CN33" s="19" cm="1">
        <f t="array" aca="1" ref="CN33" ca="1">SUM(INDIRECT(ADDRESS(expenses_min_row,COLUMN())&amp;":" &amp; ADDRESS(expenses_max_row, COLUMN())))</f>
        <v>0</v>
      </c>
      <c r="CO33" s="19" cm="1">
        <f t="array" aca="1" ref="CO33" ca="1">SUM(INDIRECT(ADDRESS(expenses_min_row,COLUMN())&amp;":" &amp; ADDRESS(expenses_max_row, COLUMN())))</f>
        <v>0</v>
      </c>
      <c r="CP33" s="19" cm="1">
        <f t="array" aca="1" ref="CP33" ca="1">SUM(INDIRECT(ADDRESS(expenses_min_row,COLUMN())&amp;":" &amp; ADDRESS(expenses_max_row, COLUMN())))</f>
        <v>0</v>
      </c>
      <c r="CQ33" s="19" cm="1">
        <f t="array" aca="1" ref="CQ33" ca="1">SUM(INDIRECT(ADDRESS(expenses_min_row,COLUMN())&amp;":" &amp; ADDRESS(expenses_max_row, COLUMN())))</f>
        <v>0</v>
      </c>
      <c r="CR33" s="19" cm="1">
        <f t="array" aca="1" ref="CR33" ca="1">SUM(INDIRECT(ADDRESS(expenses_min_row,COLUMN())&amp;":" &amp; ADDRESS(expenses_max_row, COLUMN())))</f>
        <v>0</v>
      </c>
      <c r="CS33" s="19" cm="1">
        <f t="array" aca="1" ref="CS33" ca="1">SUM(INDIRECT(ADDRESS(expenses_min_row,COLUMN())&amp;":" &amp; ADDRESS(expenses_max_row, COLUMN())))</f>
        <v>0</v>
      </c>
      <c r="CT33" s="19" cm="1">
        <f t="array" aca="1" ref="CT33" ca="1">SUM(INDIRECT(ADDRESS(expenses_min_row,COLUMN())&amp;":" &amp; ADDRESS(expenses_max_row, COLUMN())))</f>
        <v>0</v>
      </c>
      <c r="CU33" s="19" cm="1">
        <f t="array" aca="1" ref="CU33" ca="1">SUM(INDIRECT(ADDRESS(expenses_min_row,COLUMN())&amp;":" &amp; ADDRESS(expenses_max_row, COLUMN())))</f>
        <v>0</v>
      </c>
      <c r="CV33" s="19" cm="1">
        <f t="array" aca="1" ref="CV33" ca="1">SUM(INDIRECT(ADDRESS(expenses_min_row,COLUMN())&amp;":" &amp; ADDRESS(expenses_max_row, COLUMN())))</f>
        <v>0</v>
      </c>
      <c r="CW33" s="19" cm="1">
        <f t="array" aca="1" ref="CW33" ca="1">SUM(INDIRECT(ADDRESS(expenses_min_row,COLUMN())&amp;":" &amp; ADDRESS(expenses_max_row, COLUMN())))</f>
        <v>0</v>
      </c>
      <c r="CY33" s="19" cm="1">
        <f t="array" aca="1" ref="CY33" ca="1">SUM(INDIRECT(ADDRESS(expenses_min_row,COLUMN())&amp;":" &amp; ADDRESS(expenses_max_row, COLUMN())))</f>
        <v>0</v>
      </c>
      <c r="CZ33" s="19" cm="1">
        <f t="array" aca="1" ref="CZ33" ca="1">SUM(INDIRECT(ADDRESS(expenses_min_row,COLUMN())&amp;":" &amp; ADDRESS(expenses_max_row, COLUMN())))</f>
        <v>0</v>
      </c>
      <c r="DA33" s="19" cm="1">
        <f t="array" aca="1" ref="DA33" ca="1">SUM(INDIRECT(ADDRESS(expenses_min_row,COLUMN())&amp;":" &amp; ADDRESS(expenses_max_row, COLUMN())))</f>
        <v>0</v>
      </c>
      <c r="DB33" s="19" cm="1">
        <f t="array" aca="1" ref="DB33" ca="1">SUM(INDIRECT(ADDRESS(expenses_min_row,COLUMN())&amp;":" &amp; ADDRESS(expenses_max_row, COLUMN())))</f>
        <v>0</v>
      </c>
      <c r="DC33" s="19" cm="1">
        <f t="array" aca="1" ref="DC33" ca="1">SUM(INDIRECT(ADDRESS(expenses_min_row,COLUMN())&amp;":" &amp; ADDRESS(expenses_max_row, COLUMN())))</f>
        <v>0</v>
      </c>
      <c r="DD33" s="19" cm="1">
        <f t="array" aca="1" ref="DD33" ca="1">SUM(INDIRECT(ADDRESS(expenses_min_row,COLUMN())&amp;":" &amp; ADDRESS(expenses_max_row, COLUMN())))</f>
        <v>0</v>
      </c>
      <c r="DE33" s="19" cm="1">
        <f t="array" aca="1" ref="DE33" ca="1">SUM(INDIRECT(ADDRESS(expenses_min_row,COLUMN())&amp;":" &amp; ADDRESS(expenses_max_row, COLUMN())))</f>
        <v>0</v>
      </c>
      <c r="DF33" s="19" cm="1">
        <f t="array" aca="1" ref="DF33" ca="1">SUM(INDIRECT(ADDRESS(expenses_min_row,COLUMN())&amp;":" &amp; ADDRESS(expenses_max_row, COLUMN())))</f>
        <v>0</v>
      </c>
      <c r="DG33" s="19" cm="1">
        <f t="array" aca="1" ref="DG33" ca="1">SUM(INDIRECT(ADDRESS(expenses_min_row,COLUMN())&amp;":" &amp; ADDRESS(expenses_max_row, COLUMN())))</f>
        <v>0</v>
      </c>
      <c r="DH33" s="19" cm="1">
        <f t="array" aca="1" ref="DH33" ca="1">SUM(INDIRECT(ADDRESS(expenses_min_row,COLUMN())&amp;":" &amp; ADDRESS(expenses_max_row, COLUMN())))</f>
        <v>0</v>
      </c>
      <c r="DI33" s="19" cm="1">
        <f t="array" aca="1" ref="DI33" ca="1">SUM(INDIRECT(ADDRESS(expenses_min_row,COLUMN())&amp;":" &amp; ADDRESS(expenses_max_row, COLUMN())))</f>
        <v>0</v>
      </c>
      <c r="DJ33" s="19" cm="1">
        <f t="array" aca="1" ref="DJ33" ca="1">SUM(INDIRECT(ADDRESS(expenses_min_row,COLUMN())&amp;":" &amp; ADDRESS(expenses_max_row, COLUMN())))</f>
        <v>0</v>
      </c>
      <c r="DK33" s="19" cm="1">
        <f t="array" aca="1" ref="DK33" ca="1">SUM(INDIRECT(ADDRESS(expenses_min_row,COLUMN())&amp;":" &amp; ADDRESS(expenses_max_row, COLUMN())))</f>
        <v>0</v>
      </c>
    </row>
    <row r="35" spans="3:115" x14ac:dyDescent="0.25">
      <c r="C35" s="11" t="s">
        <v>2</v>
      </c>
      <c r="E35" s="23">
        <f>DATE(E$5,1,1)</f>
        <v>45658</v>
      </c>
      <c r="F35" s="23">
        <f>DATE(E$5,2,1)</f>
        <v>45689</v>
      </c>
      <c r="G35" s="23">
        <f>DATE(E$5,3,1)</f>
        <v>45717</v>
      </c>
      <c r="H35" s="23">
        <f>DATE(E$5,4,1)</f>
        <v>45748</v>
      </c>
      <c r="I35" s="23">
        <f>DATE(E$5,5,1)</f>
        <v>45778</v>
      </c>
      <c r="J35" s="23">
        <f>DATE(E$5,6,1)</f>
        <v>45809</v>
      </c>
      <c r="K35" s="23">
        <f>DATE(E$5,7,1)</f>
        <v>45839</v>
      </c>
      <c r="L35" s="23">
        <f>DATE(E$5,8,1)</f>
        <v>45870</v>
      </c>
      <c r="M35" s="23">
        <f>DATE(E$5,9,1)</f>
        <v>45901</v>
      </c>
      <c r="N35" s="23">
        <f>DATE(E$5,10,1)</f>
        <v>45931</v>
      </c>
      <c r="O35" s="23">
        <f>DATE(E$5,11,1)</f>
        <v>45962</v>
      </c>
      <c r="P35" s="23">
        <f>DATE(E$5,12,1)</f>
        <v>45992</v>
      </c>
      <c r="Q35" s="24">
        <f>$E5</f>
        <v>2025</v>
      </c>
      <c r="S35" s="23">
        <f>DATE(S$5,1,1)</f>
        <v>46023</v>
      </c>
      <c r="T35" s="23">
        <f>DATE(S$5,2,1)</f>
        <v>46054</v>
      </c>
      <c r="U35" s="23">
        <f>DATE(S$5,3,1)</f>
        <v>46082</v>
      </c>
      <c r="V35" s="23">
        <f>DATE(S$5,4,1)</f>
        <v>46113</v>
      </c>
      <c r="W35" s="23">
        <f>DATE(S$5,5,1)</f>
        <v>46143</v>
      </c>
      <c r="X35" s="23">
        <f>DATE(S$5,6,1)</f>
        <v>46174</v>
      </c>
      <c r="Y35" s="23">
        <f>DATE(S$5,7,1)</f>
        <v>46204</v>
      </c>
      <c r="Z35" s="23">
        <f>DATE(S$5,8,1)</f>
        <v>46235</v>
      </c>
      <c r="AA35" s="23">
        <f>DATE(S$5,9,1)</f>
        <v>46266</v>
      </c>
      <c r="AB35" s="23">
        <f>DATE(S$5,10,1)</f>
        <v>46296</v>
      </c>
      <c r="AC35" s="23">
        <f>DATE(S$5,11,1)</f>
        <v>46327</v>
      </c>
      <c r="AD35" s="23">
        <f>DATE(S$5,12,1)</f>
        <v>46357</v>
      </c>
      <c r="AE35" s="24">
        <f>$E5+1</f>
        <v>2026</v>
      </c>
      <c r="AG35" s="23">
        <f t="shared" ref="AG35" si="253">DATE(AG$5,1,1)</f>
        <v>46388</v>
      </c>
      <c r="AH35" s="23">
        <f t="shared" ref="AH35" si="254">DATE(AG$5,2,1)</f>
        <v>46419</v>
      </c>
      <c r="AI35" s="23">
        <f t="shared" ref="AI35" si="255">DATE(AG$5,3,1)</f>
        <v>46447</v>
      </c>
      <c r="AJ35" s="23">
        <f t="shared" ref="AJ35" si="256">DATE(AG$5,4,1)</f>
        <v>46478</v>
      </c>
      <c r="AK35" s="23">
        <f t="shared" ref="AK35" si="257">DATE(AG$5,5,1)</f>
        <v>46508</v>
      </c>
      <c r="AL35" s="23">
        <f t="shared" ref="AL35" si="258">DATE(AG$5,6,1)</f>
        <v>46539</v>
      </c>
      <c r="AM35" s="23">
        <f t="shared" ref="AM35" si="259">DATE(AG$5,7,1)</f>
        <v>46569</v>
      </c>
      <c r="AN35" s="23">
        <f t="shared" ref="AN35" si="260">DATE(AG$5,8,1)</f>
        <v>46600</v>
      </c>
      <c r="AO35" s="23">
        <f t="shared" ref="AO35" si="261">DATE(AG$5,9,1)</f>
        <v>46631</v>
      </c>
      <c r="AP35" s="23">
        <f t="shared" ref="AP35" si="262">DATE(AG$5,10,1)</f>
        <v>46661</v>
      </c>
      <c r="AQ35" s="23">
        <f t="shared" ref="AQ35" si="263">DATE(AG$5,11,1)</f>
        <v>46692</v>
      </c>
      <c r="AR35" s="23">
        <f t="shared" ref="AR35" si="264">DATE(AG$5,12,1)</f>
        <v>46722</v>
      </c>
      <c r="AS35" s="24">
        <f>$E5+2</f>
        <v>2027</v>
      </c>
      <c r="AU35" s="23">
        <f t="shared" ref="AU35" si="265">DATE(AU$5,1,1)</f>
        <v>46753</v>
      </c>
      <c r="AV35" s="23">
        <f t="shared" ref="AV35" si="266">DATE(AU$5,2,1)</f>
        <v>46784</v>
      </c>
      <c r="AW35" s="23">
        <f t="shared" ref="AW35" si="267">DATE(AU$5,3,1)</f>
        <v>46813</v>
      </c>
      <c r="AX35" s="23">
        <f t="shared" ref="AX35" si="268">DATE(AU$5,4,1)</f>
        <v>46844</v>
      </c>
      <c r="AY35" s="23">
        <f t="shared" ref="AY35" si="269">DATE(AU$5,5,1)</f>
        <v>46874</v>
      </c>
      <c r="AZ35" s="23">
        <f t="shared" ref="AZ35" si="270">DATE(AU$5,6,1)</f>
        <v>46905</v>
      </c>
      <c r="BA35" s="23">
        <f t="shared" ref="BA35" si="271">DATE(AU$5,7,1)</f>
        <v>46935</v>
      </c>
      <c r="BB35" s="23">
        <f t="shared" ref="BB35" si="272">DATE(AU$5,8,1)</f>
        <v>46966</v>
      </c>
      <c r="BC35" s="23">
        <f t="shared" ref="BC35" si="273">DATE(AU$5,9,1)</f>
        <v>46997</v>
      </c>
      <c r="BD35" s="23">
        <f t="shared" ref="BD35" si="274">DATE(AU$5,10,1)</f>
        <v>47027</v>
      </c>
      <c r="BE35" s="23">
        <f t="shared" ref="BE35" si="275">DATE(AU$5,11,1)</f>
        <v>47058</v>
      </c>
      <c r="BF35" s="23">
        <f t="shared" ref="BF35" si="276">DATE(AU$5,12,1)</f>
        <v>47088</v>
      </c>
      <c r="BG35" s="24">
        <f>$E5+3</f>
        <v>2028</v>
      </c>
      <c r="BI35" s="23">
        <f t="shared" ref="BI35" si="277">DATE(BI$5,1,1)</f>
        <v>47119</v>
      </c>
      <c r="BJ35" s="23">
        <f t="shared" ref="BJ35" si="278">DATE(BI$5,2,1)</f>
        <v>47150</v>
      </c>
      <c r="BK35" s="23">
        <f t="shared" ref="BK35" si="279">DATE(BI$5,3,1)</f>
        <v>47178</v>
      </c>
      <c r="BL35" s="23">
        <f t="shared" ref="BL35" si="280">DATE(BI$5,4,1)</f>
        <v>47209</v>
      </c>
      <c r="BM35" s="23">
        <f t="shared" ref="BM35" si="281">DATE(BI$5,5,1)</f>
        <v>47239</v>
      </c>
      <c r="BN35" s="23">
        <f t="shared" ref="BN35" si="282">DATE(BI$5,6,1)</f>
        <v>47270</v>
      </c>
      <c r="BO35" s="23">
        <f t="shared" ref="BO35" si="283">DATE(BI$5,7,1)</f>
        <v>47300</v>
      </c>
      <c r="BP35" s="23">
        <f t="shared" ref="BP35" si="284">DATE(BI$5,8,1)</f>
        <v>47331</v>
      </c>
      <c r="BQ35" s="23">
        <f t="shared" ref="BQ35" si="285">DATE(BI$5,9,1)</f>
        <v>47362</v>
      </c>
      <c r="BR35" s="23">
        <f t="shared" ref="BR35" si="286">DATE(BI$5,10,1)</f>
        <v>47392</v>
      </c>
      <c r="BS35" s="23">
        <f t="shared" ref="BS35" si="287">DATE(BI$5,11,1)</f>
        <v>47423</v>
      </c>
      <c r="BT35" s="23">
        <f t="shared" ref="BT35" si="288">DATE(BI$5,12,1)</f>
        <v>47453</v>
      </c>
      <c r="BU35" s="24">
        <f>$E5+4</f>
        <v>2029</v>
      </c>
      <c r="BW35" s="23">
        <f t="shared" ref="BW35" si="289">DATE(BW$5,1,1)</f>
        <v>47484</v>
      </c>
      <c r="BX35" s="23">
        <f t="shared" ref="BX35" si="290">DATE(BW$5,2,1)</f>
        <v>47515</v>
      </c>
      <c r="BY35" s="23">
        <f t="shared" ref="BY35" si="291">DATE(BW$5,3,1)</f>
        <v>47543</v>
      </c>
      <c r="BZ35" s="23">
        <f t="shared" ref="BZ35" si="292">DATE(BW$5,4,1)</f>
        <v>47574</v>
      </c>
      <c r="CA35" s="23">
        <f t="shared" ref="CA35" si="293">DATE(BW$5,5,1)</f>
        <v>47604</v>
      </c>
      <c r="CB35" s="23">
        <f t="shared" ref="CB35" si="294">DATE(BW$5,6,1)</f>
        <v>47635</v>
      </c>
      <c r="CC35" s="23">
        <f t="shared" ref="CC35" si="295">DATE(BW$5,7,1)</f>
        <v>47665</v>
      </c>
      <c r="CD35" s="23">
        <f t="shared" ref="CD35" si="296">DATE(BW$5,8,1)</f>
        <v>47696</v>
      </c>
      <c r="CE35" s="23">
        <f t="shared" ref="CE35" si="297">DATE(BW$5,9,1)</f>
        <v>47727</v>
      </c>
      <c r="CF35" s="23">
        <f t="shared" ref="CF35" si="298">DATE(BW$5,10,1)</f>
        <v>47757</v>
      </c>
      <c r="CG35" s="23">
        <f t="shared" ref="CG35" si="299">DATE(BW$5,11,1)</f>
        <v>47788</v>
      </c>
      <c r="CH35" s="23">
        <f t="shared" ref="CH35" si="300">DATE(BW$5,12,1)</f>
        <v>47818</v>
      </c>
      <c r="CI35" s="24">
        <f>$E5+5</f>
        <v>2030</v>
      </c>
      <c r="CK35" s="23">
        <f t="shared" ref="CK35" si="301">DATE(CK$5,1,1)</f>
        <v>47849</v>
      </c>
      <c r="CL35" s="23">
        <f t="shared" ref="CL35" si="302">DATE(CK$5,2,1)</f>
        <v>47880</v>
      </c>
      <c r="CM35" s="23">
        <f t="shared" ref="CM35" si="303">DATE(CK$5,3,1)</f>
        <v>47908</v>
      </c>
      <c r="CN35" s="23">
        <f t="shared" ref="CN35" si="304">DATE(CK$5,4,1)</f>
        <v>47939</v>
      </c>
      <c r="CO35" s="23">
        <f t="shared" ref="CO35" si="305">DATE(CK$5,5,1)</f>
        <v>47969</v>
      </c>
      <c r="CP35" s="23">
        <f t="shared" ref="CP35" si="306">DATE(CK$5,6,1)</f>
        <v>48000</v>
      </c>
      <c r="CQ35" s="23">
        <f t="shared" ref="CQ35" si="307">DATE(CK$5,7,1)</f>
        <v>48030</v>
      </c>
      <c r="CR35" s="23">
        <f t="shared" ref="CR35" si="308">DATE(CK$5,8,1)</f>
        <v>48061</v>
      </c>
      <c r="CS35" s="23">
        <f t="shared" ref="CS35" si="309">DATE(CK$5,9,1)</f>
        <v>48092</v>
      </c>
      <c r="CT35" s="23">
        <f t="shared" ref="CT35" si="310">DATE(CK$5,10,1)</f>
        <v>48122</v>
      </c>
      <c r="CU35" s="23">
        <f t="shared" ref="CU35" si="311">DATE(CK$5,11,1)</f>
        <v>48153</v>
      </c>
      <c r="CV35" s="23">
        <f t="shared" ref="CV35" si="312">DATE(CK$5,12,1)</f>
        <v>48183</v>
      </c>
      <c r="CW35" s="24">
        <f>$E5+6</f>
        <v>2031</v>
      </c>
      <c r="CY35" s="23">
        <f t="shared" ref="CY35" si="313">DATE(CY$5,1,1)</f>
        <v>48214</v>
      </c>
      <c r="CZ35" s="23">
        <f t="shared" ref="CZ35" si="314">DATE(CY$5,2,1)</f>
        <v>48245</v>
      </c>
      <c r="DA35" s="23">
        <f t="shared" ref="DA35" si="315">DATE(CY$5,3,1)</f>
        <v>48274</v>
      </c>
      <c r="DB35" s="23">
        <f t="shared" ref="DB35" si="316">DATE(CY$5,4,1)</f>
        <v>48305</v>
      </c>
      <c r="DC35" s="23">
        <f t="shared" ref="DC35" si="317">DATE(CY$5,5,1)</f>
        <v>48335</v>
      </c>
      <c r="DD35" s="23">
        <f t="shared" ref="DD35" si="318">DATE(CY$5,6,1)</f>
        <v>48366</v>
      </c>
      <c r="DE35" s="23">
        <f t="shared" ref="DE35" si="319">DATE(CY$5,7,1)</f>
        <v>48396</v>
      </c>
      <c r="DF35" s="23">
        <f t="shared" ref="DF35" si="320">DATE(CY$5,8,1)</f>
        <v>48427</v>
      </c>
      <c r="DG35" s="23">
        <f t="shared" ref="DG35" si="321">DATE(CY$5,9,1)</f>
        <v>48458</v>
      </c>
      <c r="DH35" s="23">
        <f t="shared" ref="DH35" si="322">DATE(CY$5,10,1)</f>
        <v>48488</v>
      </c>
      <c r="DI35" s="23">
        <f t="shared" ref="DI35" si="323">DATE(CY$5,11,1)</f>
        <v>48519</v>
      </c>
      <c r="DJ35" s="23">
        <f t="shared" ref="DJ35" si="324">DATE(CY$5,12,1)</f>
        <v>48549</v>
      </c>
      <c r="DK35" s="24">
        <f>$E5+7</f>
        <v>2032</v>
      </c>
    </row>
    <row r="36" spans="3:115" x14ac:dyDescent="0.25">
      <c r="C36" s="15" t="s">
        <v>18</v>
      </c>
      <c r="D36" s="16"/>
      <c r="E36" s="17">
        <v>500</v>
      </c>
      <c r="F36" s="17">
        <v>500</v>
      </c>
      <c r="G36" s="17">
        <v>0</v>
      </c>
      <c r="H36" s="17"/>
      <c r="I36" s="17"/>
      <c r="J36" s="17"/>
      <c r="K36" s="17"/>
      <c r="L36" s="17"/>
      <c r="M36" s="17"/>
      <c r="N36" s="17"/>
      <c r="O36" s="17">
        <v>1200</v>
      </c>
      <c r="P36" s="17">
        <v>1500</v>
      </c>
      <c r="Q36" s="20">
        <f t="shared" ref="Q36:Q41" si="325">SUM(E36:P36)</f>
        <v>3700</v>
      </c>
      <c r="S36" s="17"/>
      <c r="T36" s="17"/>
      <c r="U36" s="17"/>
      <c r="V36" s="17"/>
      <c r="W36" s="17"/>
      <c r="X36" s="17"/>
      <c r="Y36" s="17"/>
      <c r="Z36" s="17"/>
      <c r="AA36" s="17"/>
      <c r="AB36" s="17"/>
      <c r="AC36" s="17"/>
      <c r="AD36" s="17"/>
      <c r="AE36" s="20">
        <f>SUM(S36:AD36)</f>
        <v>0</v>
      </c>
      <c r="AG36" s="17"/>
      <c r="AH36" s="17"/>
      <c r="AI36" s="17"/>
      <c r="AJ36" s="17"/>
      <c r="AK36" s="17"/>
      <c r="AL36" s="17"/>
      <c r="AM36" s="17"/>
      <c r="AN36" s="17"/>
      <c r="AO36" s="17"/>
      <c r="AP36" s="17"/>
      <c r="AQ36" s="17"/>
      <c r="AR36" s="17"/>
      <c r="AS36" s="20">
        <f t="shared" ref="AS36:AS45" si="326">SUM(AG36:AR36)</f>
        <v>0</v>
      </c>
      <c r="AU36" s="17"/>
      <c r="AV36" s="17"/>
      <c r="AW36" s="17"/>
      <c r="AX36" s="17"/>
      <c r="AY36" s="17"/>
      <c r="AZ36" s="17"/>
      <c r="BA36" s="17"/>
      <c r="BB36" s="17"/>
      <c r="BC36" s="17"/>
      <c r="BD36" s="17"/>
      <c r="BE36" s="17"/>
      <c r="BF36" s="17"/>
      <c r="BG36" s="20">
        <f t="shared" ref="BG36:BG45" si="327">SUM(AU36:BF36)</f>
        <v>0</v>
      </c>
      <c r="BI36" s="17"/>
      <c r="BJ36" s="17"/>
      <c r="BK36" s="17"/>
      <c r="BL36" s="17"/>
      <c r="BM36" s="17"/>
      <c r="BN36" s="17"/>
      <c r="BO36" s="17"/>
      <c r="BP36" s="17"/>
      <c r="BQ36" s="17"/>
      <c r="BR36" s="17"/>
      <c r="BS36" s="17"/>
      <c r="BT36" s="17"/>
      <c r="BU36" s="20">
        <f t="shared" ref="BU36:BU45" si="328">SUM(BI36:BT36)</f>
        <v>0</v>
      </c>
      <c r="BW36" s="17"/>
      <c r="BX36" s="17"/>
      <c r="BY36" s="17"/>
      <c r="BZ36" s="17"/>
      <c r="CA36" s="17"/>
      <c r="CB36" s="17"/>
      <c r="CC36" s="17"/>
      <c r="CD36" s="17"/>
      <c r="CE36" s="17"/>
      <c r="CF36" s="17"/>
      <c r="CG36" s="17"/>
      <c r="CH36" s="17"/>
      <c r="CI36" s="20">
        <f t="shared" ref="CI36:CI45" si="329">SUM(BW36:CH36)</f>
        <v>0</v>
      </c>
      <c r="CK36" s="17"/>
      <c r="CL36" s="17"/>
      <c r="CM36" s="17"/>
      <c r="CN36" s="17"/>
      <c r="CO36" s="17"/>
      <c r="CP36" s="17"/>
      <c r="CQ36" s="17"/>
      <c r="CR36" s="17"/>
      <c r="CS36" s="17"/>
      <c r="CT36" s="17"/>
      <c r="CU36" s="17"/>
      <c r="CV36" s="17"/>
      <c r="CW36" s="20">
        <f t="shared" ref="CW36:CW45" si="330">SUM(CK36:CV36)</f>
        <v>0</v>
      </c>
      <c r="CY36" s="17"/>
      <c r="CZ36" s="17"/>
      <c r="DA36" s="17"/>
      <c r="DB36" s="17"/>
      <c r="DC36" s="17"/>
      <c r="DD36" s="17"/>
      <c r="DE36" s="17"/>
      <c r="DF36" s="17"/>
      <c r="DG36" s="17"/>
      <c r="DH36" s="17"/>
      <c r="DI36" s="17"/>
      <c r="DJ36" s="17"/>
      <c r="DK36" s="20">
        <f t="shared" ref="DK36:DK45" si="331">SUM(CY36:DJ36)</f>
        <v>0</v>
      </c>
    </row>
    <row r="37" spans="3:115" x14ac:dyDescent="0.25">
      <c r="C37" s="15" t="s">
        <v>19</v>
      </c>
      <c r="D37" s="16"/>
      <c r="E37" s="17">
        <v>0</v>
      </c>
      <c r="F37" s="17">
        <v>1000</v>
      </c>
      <c r="G37" s="17">
        <v>0</v>
      </c>
      <c r="H37" s="17"/>
      <c r="I37" s="17"/>
      <c r="J37" s="17"/>
      <c r="K37" s="17"/>
      <c r="L37" s="17"/>
      <c r="M37" s="17"/>
      <c r="N37" s="17"/>
      <c r="O37" s="17"/>
      <c r="P37" s="17"/>
      <c r="Q37" s="20">
        <f t="shared" si="325"/>
        <v>1000</v>
      </c>
      <c r="S37" s="17"/>
      <c r="T37" s="17"/>
      <c r="U37" s="17"/>
      <c r="V37" s="17"/>
      <c r="W37" s="17"/>
      <c r="X37" s="17"/>
      <c r="Y37" s="17"/>
      <c r="Z37" s="17"/>
      <c r="AA37" s="17"/>
      <c r="AB37" s="17"/>
      <c r="AC37" s="17"/>
      <c r="AD37" s="17"/>
      <c r="AE37" s="20">
        <f t="shared" ref="AE37:AE45" si="332">SUM(S37:AD37)</f>
        <v>0</v>
      </c>
      <c r="AG37" s="17"/>
      <c r="AH37" s="17"/>
      <c r="AI37" s="17"/>
      <c r="AJ37" s="17"/>
      <c r="AK37" s="17"/>
      <c r="AL37" s="17"/>
      <c r="AM37" s="17"/>
      <c r="AN37" s="17"/>
      <c r="AO37" s="17"/>
      <c r="AP37" s="17"/>
      <c r="AQ37" s="17"/>
      <c r="AR37" s="17"/>
      <c r="AS37" s="20">
        <f t="shared" si="326"/>
        <v>0</v>
      </c>
      <c r="AU37" s="17"/>
      <c r="AV37" s="17"/>
      <c r="AW37" s="17"/>
      <c r="AX37" s="17"/>
      <c r="AY37" s="17"/>
      <c r="AZ37" s="17"/>
      <c r="BA37" s="17"/>
      <c r="BB37" s="17"/>
      <c r="BC37" s="17"/>
      <c r="BD37" s="17"/>
      <c r="BE37" s="17"/>
      <c r="BF37" s="17"/>
      <c r="BG37" s="20">
        <f t="shared" si="327"/>
        <v>0</v>
      </c>
      <c r="BI37" s="17"/>
      <c r="BJ37" s="17"/>
      <c r="BK37" s="17"/>
      <c r="BL37" s="17"/>
      <c r="BM37" s="17"/>
      <c r="BN37" s="17"/>
      <c r="BO37" s="17"/>
      <c r="BP37" s="17"/>
      <c r="BQ37" s="17"/>
      <c r="BR37" s="17"/>
      <c r="BS37" s="17"/>
      <c r="BT37" s="17"/>
      <c r="BU37" s="20">
        <f t="shared" si="328"/>
        <v>0</v>
      </c>
      <c r="BW37" s="17"/>
      <c r="BX37" s="17"/>
      <c r="BY37" s="17"/>
      <c r="BZ37" s="17"/>
      <c r="CA37" s="17"/>
      <c r="CB37" s="17"/>
      <c r="CC37" s="17"/>
      <c r="CD37" s="17"/>
      <c r="CE37" s="17"/>
      <c r="CF37" s="17"/>
      <c r="CG37" s="17"/>
      <c r="CH37" s="17"/>
      <c r="CI37" s="20">
        <f t="shared" si="329"/>
        <v>0</v>
      </c>
      <c r="CK37" s="17"/>
      <c r="CL37" s="17"/>
      <c r="CM37" s="17"/>
      <c r="CN37" s="17"/>
      <c r="CO37" s="17"/>
      <c r="CP37" s="17"/>
      <c r="CQ37" s="17"/>
      <c r="CR37" s="17"/>
      <c r="CS37" s="17"/>
      <c r="CT37" s="17"/>
      <c r="CU37" s="17"/>
      <c r="CV37" s="17"/>
      <c r="CW37" s="20">
        <f t="shared" si="330"/>
        <v>0</v>
      </c>
      <c r="CY37" s="17"/>
      <c r="CZ37" s="17"/>
      <c r="DA37" s="17"/>
      <c r="DB37" s="17"/>
      <c r="DC37" s="17"/>
      <c r="DD37" s="17"/>
      <c r="DE37" s="17"/>
      <c r="DF37" s="17"/>
      <c r="DG37" s="17"/>
      <c r="DH37" s="17"/>
      <c r="DI37" s="17"/>
      <c r="DJ37" s="17"/>
      <c r="DK37" s="20">
        <f t="shared" si="331"/>
        <v>0</v>
      </c>
    </row>
    <row r="38" spans="3:115" x14ac:dyDescent="0.25">
      <c r="C38" s="15" t="s">
        <v>20</v>
      </c>
      <c r="D38" s="16"/>
      <c r="E38" s="17">
        <v>500</v>
      </c>
      <c r="F38" s="17">
        <v>300</v>
      </c>
      <c r="G38" s="17"/>
      <c r="H38" s="17"/>
      <c r="I38" s="17"/>
      <c r="J38" s="17"/>
      <c r="K38" s="17"/>
      <c r="L38" s="17"/>
      <c r="M38" s="17"/>
      <c r="N38" s="17"/>
      <c r="O38" s="17"/>
      <c r="P38" s="17"/>
      <c r="Q38" s="20">
        <f t="shared" si="325"/>
        <v>800</v>
      </c>
      <c r="S38" s="17"/>
      <c r="T38" s="17"/>
      <c r="U38" s="17"/>
      <c r="V38" s="17"/>
      <c r="W38" s="17"/>
      <c r="X38" s="17"/>
      <c r="Y38" s="17"/>
      <c r="Z38" s="17"/>
      <c r="AA38" s="17"/>
      <c r="AB38" s="17"/>
      <c r="AC38" s="17"/>
      <c r="AD38" s="17"/>
      <c r="AE38" s="20">
        <f t="shared" si="332"/>
        <v>0</v>
      </c>
      <c r="AG38" s="17"/>
      <c r="AH38" s="17"/>
      <c r="AI38" s="17"/>
      <c r="AJ38" s="17"/>
      <c r="AK38" s="17"/>
      <c r="AL38" s="17"/>
      <c r="AM38" s="17"/>
      <c r="AN38" s="17"/>
      <c r="AO38" s="17"/>
      <c r="AP38" s="17"/>
      <c r="AQ38" s="17"/>
      <c r="AR38" s="17"/>
      <c r="AS38" s="20">
        <f t="shared" si="326"/>
        <v>0</v>
      </c>
      <c r="AU38" s="17"/>
      <c r="AV38" s="17"/>
      <c r="AW38" s="17"/>
      <c r="AX38" s="17"/>
      <c r="AY38" s="17"/>
      <c r="AZ38" s="17"/>
      <c r="BA38" s="17"/>
      <c r="BB38" s="17"/>
      <c r="BC38" s="17"/>
      <c r="BD38" s="17"/>
      <c r="BE38" s="17"/>
      <c r="BF38" s="17"/>
      <c r="BG38" s="20">
        <f t="shared" si="327"/>
        <v>0</v>
      </c>
      <c r="BI38" s="17"/>
      <c r="BJ38" s="17"/>
      <c r="BK38" s="17"/>
      <c r="BL38" s="17"/>
      <c r="BM38" s="17"/>
      <c r="BN38" s="17"/>
      <c r="BO38" s="17"/>
      <c r="BP38" s="17"/>
      <c r="BQ38" s="17"/>
      <c r="BR38" s="17"/>
      <c r="BS38" s="17"/>
      <c r="BT38" s="17"/>
      <c r="BU38" s="20">
        <f t="shared" si="328"/>
        <v>0</v>
      </c>
      <c r="BW38" s="17"/>
      <c r="BX38" s="17"/>
      <c r="BY38" s="17"/>
      <c r="BZ38" s="17"/>
      <c r="CA38" s="17"/>
      <c r="CB38" s="17"/>
      <c r="CC38" s="17"/>
      <c r="CD38" s="17"/>
      <c r="CE38" s="17"/>
      <c r="CF38" s="17"/>
      <c r="CG38" s="17"/>
      <c r="CH38" s="17"/>
      <c r="CI38" s="20">
        <f t="shared" si="329"/>
        <v>0</v>
      </c>
      <c r="CK38" s="17"/>
      <c r="CL38" s="17"/>
      <c r="CM38" s="17"/>
      <c r="CN38" s="17"/>
      <c r="CO38" s="17"/>
      <c r="CP38" s="17"/>
      <c r="CQ38" s="17"/>
      <c r="CR38" s="17"/>
      <c r="CS38" s="17"/>
      <c r="CT38" s="17"/>
      <c r="CU38" s="17"/>
      <c r="CV38" s="17"/>
      <c r="CW38" s="20">
        <f t="shared" si="330"/>
        <v>0</v>
      </c>
      <c r="CY38" s="17"/>
      <c r="CZ38" s="17"/>
      <c r="DA38" s="17"/>
      <c r="DB38" s="17"/>
      <c r="DC38" s="17"/>
      <c r="DD38" s="17"/>
      <c r="DE38" s="17"/>
      <c r="DF38" s="17"/>
      <c r="DG38" s="17"/>
      <c r="DH38" s="17"/>
      <c r="DI38" s="17"/>
      <c r="DJ38" s="17"/>
      <c r="DK38" s="20">
        <f t="shared" si="331"/>
        <v>0</v>
      </c>
    </row>
    <row r="39" spans="3:115" x14ac:dyDescent="0.25">
      <c r="C39" s="15" t="s">
        <v>119</v>
      </c>
      <c r="D39" s="16"/>
      <c r="E39" s="17"/>
      <c r="F39" s="17"/>
      <c r="G39" s="17"/>
      <c r="H39" s="17"/>
      <c r="I39" s="17"/>
      <c r="J39" s="17"/>
      <c r="K39" s="17"/>
      <c r="L39" s="17"/>
      <c r="M39" s="17"/>
      <c r="N39" s="17"/>
      <c r="O39" s="17"/>
      <c r="P39" s="17"/>
      <c r="Q39" s="20">
        <f t="shared" si="325"/>
        <v>0</v>
      </c>
      <c r="S39" s="17"/>
      <c r="T39" s="17"/>
      <c r="U39" s="17"/>
      <c r="V39" s="17"/>
      <c r="W39" s="17"/>
      <c r="X39" s="17"/>
      <c r="Y39" s="17"/>
      <c r="Z39" s="17"/>
      <c r="AA39" s="17"/>
      <c r="AB39" s="17"/>
      <c r="AC39" s="17"/>
      <c r="AD39" s="17"/>
      <c r="AE39" s="20">
        <f t="shared" si="332"/>
        <v>0</v>
      </c>
      <c r="AG39" s="17"/>
      <c r="AH39" s="17"/>
      <c r="AI39" s="17"/>
      <c r="AJ39" s="17"/>
      <c r="AK39" s="17"/>
      <c r="AL39" s="17"/>
      <c r="AM39" s="17"/>
      <c r="AN39" s="17"/>
      <c r="AO39" s="17"/>
      <c r="AP39" s="17"/>
      <c r="AQ39" s="17"/>
      <c r="AR39" s="17"/>
      <c r="AS39" s="20">
        <f t="shared" si="326"/>
        <v>0</v>
      </c>
      <c r="AU39" s="17"/>
      <c r="AV39" s="17"/>
      <c r="AW39" s="17"/>
      <c r="AX39" s="17"/>
      <c r="AY39" s="17"/>
      <c r="AZ39" s="17"/>
      <c r="BA39" s="17"/>
      <c r="BB39" s="17"/>
      <c r="BC39" s="17"/>
      <c r="BD39" s="17"/>
      <c r="BE39" s="17"/>
      <c r="BF39" s="17"/>
      <c r="BG39" s="20">
        <f t="shared" si="327"/>
        <v>0</v>
      </c>
      <c r="BI39" s="17"/>
      <c r="BJ39" s="17"/>
      <c r="BK39" s="17"/>
      <c r="BL39" s="17"/>
      <c r="BM39" s="17"/>
      <c r="BN39" s="17"/>
      <c r="BO39" s="17"/>
      <c r="BP39" s="17"/>
      <c r="BQ39" s="17"/>
      <c r="BR39" s="17"/>
      <c r="BS39" s="17"/>
      <c r="BT39" s="17"/>
      <c r="BU39" s="20">
        <f t="shared" si="328"/>
        <v>0</v>
      </c>
      <c r="BW39" s="17"/>
      <c r="BX39" s="17"/>
      <c r="BY39" s="17"/>
      <c r="BZ39" s="17"/>
      <c r="CA39" s="17"/>
      <c r="CB39" s="17"/>
      <c r="CC39" s="17"/>
      <c r="CD39" s="17"/>
      <c r="CE39" s="17"/>
      <c r="CF39" s="17"/>
      <c r="CG39" s="17"/>
      <c r="CH39" s="17"/>
      <c r="CI39" s="20">
        <f t="shared" si="329"/>
        <v>0</v>
      </c>
      <c r="CK39" s="17"/>
      <c r="CL39" s="17"/>
      <c r="CM39" s="17"/>
      <c r="CN39" s="17"/>
      <c r="CO39" s="17"/>
      <c r="CP39" s="17"/>
      <c r="CQ39" s="17"/>
      <c r="CR39" s="17"/>
      <c r="CS39" s="17"/>
      <c r="CT39" s="17"/>
      <c r="CU39" s="17"/>
      <c r="CV39" s="17"/>
      <c r="CW39" s="20">
        <f t="shared" si="330"/>
        <v>0</v>
      </c>
      <c r="CY39" s="17"/>
      <c r="CZ39" s="17"/>
      <c r="DA39" s="17"/>
      <c r="DB39" s="17"/>
      <c r="DC39" s="17"/>
      <c r="DD39" s="17"/>
      <c r="DE39" s="17"/>
      <c r="DF39" s="17"/>
      <c r="DG39" s="17"/>
      <c r="DH39" s="17"/>
      <c r="DI39" s="17"/>
      <c r="DJ39" s="17"/>
      <c r="DK39" s="20">
        <f t="shared" si="331"/>
        <v>0</v>
      </c>
    </row>
    <row r="40" spans="3:115" x14ac:dyDescent="0.25">
      <c r="C40" s="15" t="s">
        <v>120</v>
      </c>
      <c r="D40" s="16"/>
      <c r="E40" s="17"/>
      <c r="F40" s="17"/>
      <c r="G40" s="17"/>
      <c r="H40" s="17"/>
      <c r="I40" s="17"/>
      <c r="J40" s="17"/>
      <c r="K40" s="17"/>
      <c r="L40" s="17"/>
      <c r="M40" s="17"/>
      <c r="N40" s="17"/>
      <c r="O40" s="17"/>
      <c r="P40" s="17"/>
      <c r="Q40" s="20">
        <f t="shared" si="325"/>
        <v>0</v>
      </c>
      <c r="S40" s="17"/>
      <c r="T40" s="17"/>
      <c r="U40" s="17"/>
      <c r="V40" s="17"/>
      <c r="W40" s="17"/>
      <c r="X40" s="17"/>
      <c r="Y40" s="17"/>
      <c r="Z40" s="17"/>
      <c r="AA40" s="17"/>
      <c r="AB40" s="17"/>
      <c r="AC40" s="17"/>
      <c r="AD40" s="17"/>
      <c r="AE40" s="20">
        <f t="shared" si="332"/>
        <v>0</v>
      </c>
      <c r="AG40" s="17"/>
      <c r="AH40" s="17"/>
      <c r="AI40" s="17"/>
      <c r="AJ40" s="17"/>
      <c r="AK40" s="17"/>
      <c r="AL40" s="17"/>
      <c r="AM40" s="17"/>
      <c r="AN40" s="17"/>
      <c r="AO40" s="17"/>
      <c r="AP40" s="17"/>
      <c r="AQ40" s="17"/>
      <c r="AR40" s="17"/>
      <c r="AS40" s="20">
        <f t="shared" si="326"/>
        <v>0</v>
      </c>
      <c r="AU40" s="17"/>
      <c r="AV40" s="17"/>
      <c r="AW40" s="17"/>
      <c r="AX40" s="17"/>
      <c r="AY40" s="17"/>
      <c r="AZ40" s="17"/>
      <c r="BA40" s="17"/>
      <c r="BB40" s="17"/>
      <c r="BC40" s="17"/>
      <c r="BD40" s="17"/>
      <c r="BE40" s="17"/>
      <c r="BF40" s="17"/>
      <c r="BG40" s="20">
        <f t="shared" si="327"/>
        <v>0</v>
      </c>
      <c r="BI40" s="17"/>
      <c r="BJ40" s="17"/>
      <c r="BK40" s="17"/>
      <c r="BL40" s="17"/>
      <c r="BM40" s="17"/>
      <c r="BN40" s="17"/>
      <c r="BO40" s="17"/>
      <c r="BP40" s="17"/>
      <c r="BQ40" s="17"/>
      <c r="BR40" s="17"/>
      <c r="BS40" s="17"/>
      <c r="BT40" s="17"/>
      <c r="BU40" s="20">
        <f t="shared" si="328"/>
        <v>0</v>
      </c>
      <c r="BW40" s="17"/>
      <c r="BX40" s="17"/>
      <c r="BY40" s="17"/>
      <c r="BZ40" s="17"/>
      <c r="CA40" s="17"/>
      <c r="CB40" s="17"/>
      <c r="CC40" s="17"/>
      <c r="CD40" s="17"/>
      <c r="CE40" s="17"/>
      <c r="CF40" s="17"/>
      <c r="CG40" s="17"/>
      <c r="CH40" s="17"/>
      <c r="CI40" s="20">
        <f t="shared" si="329"/>
        <v>0</v>
      </c>
      <c r="CK40" s="17"/>
      <c r="CL40" s="17"/>
      <c r="CM40" s="17"/>
      <c r="CN40" s="17"/>
      <c r="CO40" s="17"/>
      <c r="CP40" s="17"/>
      <c r="CQ40" s="17"/>
      <c r="CR40" s="17"/>
      <c r="CS40" s="17"/>
      <c r="CT40" s="17"/>
      <c r="CU40" s="17"/>
      <c r="CV40" s="17"/>
      <c r="CW40" s="20">
        <f t="shared" si="330"/>
        <v>0</v>
      </c>
      <c r="CY40" s="17"/>
      <c r="CZ40" s="17"/>
      <c r="DA40" s="17"/>
      <c r="DB40" s="17"/>
      <c r="DC40" s="17"/>
      <c r="DD40" s="17"/>
      <c r="DE40" s="17"/>
      <c r="DF40" s="17"/>
      <c r="DG40" s="17"/>
      <c r="DH40" s="17"/>
      <c r="DI40" s="17"/>
      <c r="DJ40" s="17"/>
      <c r="DK40" s="20">
        <f t="shared" si="331"/>
        <v>0</v>
      </c>
    </row>
    <row r="41" spans="3:115" x14ac:dyDescent="0.25">
      <c r="C41" s="15" t="s">
        <v>21</v>
      </c>
      <c r="D41" s="16"/>
      <c r="E41" s="17"/>
      <c r="F41" s="17"/>
      <c r="G41" s="17"/>
      <c r="H41" s="17"/>
      <c r="I41" s="17"/>
      <c r="J41" s="17"/>
      <c r="K41" s="17"/>
      <c r="L41" s="17"/>
      <c r="M41" s="17"/>
      <c r="N41" s="17"/>
      <c r="O41" s="17"/>
      <c r="P41" s="17"/>
      <c r="Q41" s="20">
        <f t="shared" si="325"/>
        <v>0</v>
      </c>
      <c r="S41" s="17"/>
      <c r="T41" s="17"/>
      <c r="U41" s="17"/>
      <c r="V41" s="17"/>
      <c r="W41" s="17"/>
      <c r="X41" s="17"/>
      <c r="Y41" s="17"/>
      <c r="Z41" s="17"/>
      <c r="AA41" s="17"/>
      <c r="AB41" s="17"/>
      <c r="AC41" s="17"/>
      <c r="AD41" s="17"/>
      <c r="AE41" s="20">
        <f t="shared" si="332"/>
        <v>0</v>
      </c>
      <c r="AG41" s="17"/>
      <c r="AH41" s="17"/>
      <c r="AI41" s="17"/>
      <c r="AJ41" s="17"/>
      <c r="AK41" s="17"/>
      <c r="AL41" s="17"/>
      <c r="AM41" s="17"/>
      <c r="AN41" s="17"/>
      <c r="AO41" s="17"/>
      <c r="AP41" s="17"/>
      <c r="AQ41" s="17"/>
      <c r="AR41" s="17"/>
      <c r="AS41" s="20">
        <f t="shared" si="326"/>
        <v>0</v>
      </c>
      <c r="AU41" s="17"/>
      <c r="AV41" s="17"/>
      <c r="AW41" s="17"/>
      <c r="AX41" s="17"/>
      <c r="AY41" s="17"/>
      <c r="AZ41" s="17"/>
      <c r="BA41" s="17"/>
      <c r="BB41" s="17"/>
      <c r="BC41" s="17"/>
      <c r="BD41" s="17"/>
      <c r="BE41" s="17"/>
      <c r="BF41" s="17"/>
      <c r="BG41" s="20">
        <f t="shared" si="327"/>
        <v>0</v>
      </c>
      <c r="BI41" s="17"/>
      <c r="BJ41" s="17"/>
      <c r="BK41" s="17"/>
      <c r="BL41" s="17"/>
      <c r="BM41" s="17"/>
      <c r="BN41" s="17"/>
      <c r="BO41" s="17"/>
      <c r="BP41" s="17"/>
      <c r="BQ41" s="17"/>
      <c r="BR41" s="17"/>
      <c r="BS41" s="17"/>
      <c r="BT41" s="17"/>
      <c r="BU41" s="20">
        <f t="shared" si="328"/>
        <v>0</v>
      </c>
      <c r="BW41" s="17"/>
      <c r="BX41" s="17"/>
      <c r="BY41" s="17"/>
      <c r="BZ41" s="17"/>
      <c r="CA41" s="17"/>
      <c r="CB41" s="17"/>
      <c r="CC41" s="17"/>
      <c r="CD41" s="17"/>
      <c r="CE41" s="17"/>
      <c r="CF41" s="17"/>
      <c r="CG41" s="17"/>
      <c r="CH41" s="17"/>
      <c r="CI41" s="20">
        <f t="shared" si="329"/>
        <v>0</v>
      </c>
      <c r="CK41" s="17"/>
      <c r="CL41" s="17"/>
      <c r="CM41" s="17"/>
      <c r="CN41" s="17"/>
      <c r="CO41" s="17"/>
      <c r="CP41" s="17"/>
      <c r="CQ41" s="17"/>
      <c r="CR41" s="17"/>
      <c r="CS41" s="17"/>
      <c r="CT41" s="17"/>
      <c r="CU41" s="17"/>
      <c r="CV41" s="17"/>
      <c r="CW41" s="20">
        <f t="shared" si="330"/>
        <v>0</v>
      </c>
      <c r="CY41" s="17"/>
      <c r="CZ41" s="17"/>
      <c r="DA41" s="17"/>
      <c r="DB41" s="17"/>
      <c r="DC41" s="17"/>
      <c r="DD41" s="17"/>
      <c r="DE41" s="17"/>
      <c r="DF41" s="17"/>
      <c r="DG41" s="17"/>
      <c r="DH41" s="17"/>
      <c r="DI41" s="17"/>
      <c r="DJ41" s="17"/>
      <c r="DK41" s="20">
        <f t="shared" si="331"/>
        <v>0</v>
      </c>
    </row>
    <row r="42" spans="3:115" x14ac:dyDescent="0.25">
      <c r="C42" s="15" t="s">
        <v>21</v>
      </c>
      <c r="D42" s="16"/>
      <c r="E42" s="17"/>
      <c r="F42" s="17"/>
      <c r="G42" s="17"/>
      <c r="H42" s="17"/>
      <c r="I42" s="17"/>
      <c r="J42" s="17"/>
      <c r="K42" s="17"/>
      <c r="L42" s="17"/>
      <c r="M42" s="17"/>
      <c r="N42" s="17"/>
      <c r="O42" s="17"/>
      <c r="P42" s="17"/>
      <c r="Q42" s="20">
        <f t="shared" ref="Q42:Q45" si="333">SUM(E42:P42)</f>
        <v>0</v>
      </c>
      <c r="S42" s="17"/>
      <c r="T42" s="17"/>
      <c r="U42" s="17"/>
      <c r="V42" s="17"/>
      <c r="W42" s="17"/>
      <c r="X42" s="17"/>
      <c r="Y42" s="17"/>
      <c r="Z42" s="17"/>
      <c r="AA42" s="17"/>
      <c r="AB42" s="17"/>
      <c r="AC42" s="17"/>
      <c r="AD42" s="17"/>
      <c r="AE42" s="20">
        <f t="shared" si="332"/>
        <v>0</v>
      </c>
      <c r="AG42" s="17"/>
      <c r="AH42" s="17"/>
      <c r="AI42" s="17"/>
      <c r="AJ42" s="17"/>
      <c r="AK42" s="17"/>
      <c r="AL42" s="17"/>
      <c r="AM42" s="17"/>
      <c r="AN42" s="17"/>
      <c r="AO42" s="17"/>
      <c r="AP42" s="17"/>
      <c r="AQ42" s="17"/>
      <c r="AR42" s="17"/>
      <c r="AS42" s="20">
        <f t="shared" si="326"/>
        <v>0</v>
      </c>
      <c r="AU42" s="17"/>
      <c r="AV42" s="17"/>
      <c r="AW42" s="17"/>
      <c r="AX42" s="17"/>
      <c r="AY42" s="17"/>
      <c r="AZ42" s="17"/>
      <c r="BA42" s="17"/>
      <c r="BB42" s="17"/>
      <c r="BC42" s="17"/>
      <c r="BD42" s="17"/>
      <c r="BE42" s="17"/>
      <c r="BF42" s="17"/>
      <c r="BG42" s="20">
        <f t="shared" si="327"/>
        <v>0</v>
      </c>
      <c r="BI42" s="17"/>
      <c r="BJ42" s="17"/>
      <c r="BK42" s="17"/>
      <c r="BL42" s="17"/>
      <c r="BM42" s="17"/>
      <c r="BN42" s="17"/>
      <c r="BO42" s="17"/>
      <c r="BP42" s="17"/>
      <c r="BQ42" s="17"/>
      <c r="BR42" s="17"/>
      <c r="BS42" s="17"/>
      <c r="BT42" s="17"/>
      <c r="BU42" s="20">
        <f t="shared" si="328"/>
        <v>0</v>
      </c>
      <c r="BW42" s="17"/>
      <c r="BX42" s="17"/>
      <c r="BY42" s="17"/>
      <c r="BZ42" s="17"/>
      <c r="CA42" s="17"/>
      <c r="CB42" s="17"/>
      <c r="CC42" s="17"/>
      <c r="CD42" s="17"/>
      <c r="CE42" s="17"/>
      <c r="CF42" s="17"/>
      <c r="CG42" s="17"/>
      <c r="CH42" s="17"/>
      <c r="CI42" s="20">
        <f t="shared" si="329"/>
        <v>0</v>
      </c>
      <c r="CK42" s="17"/>
      <c r="CL42" s="17"/>
      <c r="CM42" s="17"/>
      <c r="CN42" s="17"/>
      <c r="CO42" s="17"/>
      <c r="CP42" s="17"/>
      <c r="CQ42" s="17"/>
      <c r="CR42" s="17"/>
      <c r="CS42" s="17"/>
      <c r="CT42" s="17"/>
      <c r="CU42" s="17"/>
      <c r="CV42" s="17"/>
      <c r="CW42" s="20">
        <f t="shared" si="330"/>
        <v>0</v>
      </c>
      <c r="CY42" s="17"/>
      <c r="CZ42" s="17"/>
      <c r="DA42" s="17"/>
      <c r="DB42" s="17"/>
      <c r="DC42" s="17"/>
      <c r="DD42" s="17"/>
      <c r="DE42" s="17"/>
      <c r="DF42" s="17"/>
      <c r="DG42" s="17"/>
      <c r="DH42" s="17"/>
      <c r="DI42" s="17"/>
      <c r="DJ42" s="17"/>
      <c r="DK42" s="20">
        <f t="shared" si="331"/>
        <v>0</v>
      </c>
    </row>
    <row r="43" spans="3:115" x14ac:dyDescent="0.25">
      <c r="C43" s="15" t="s">
        <v>21</v>
      </c>
      <c r="D43" s="16"/>
      <c r="E43" s="17"/>
      <c r="F43" s="17"/>
      <c r="G43" s="17"/>
      <c r="H43" s="17"/>
      <c r="I43" s="17"/>
      <c r="J43" s="17"/>
      <c r="K43" s="17"/>
      <c r="L43" s="17"/>
      <c r="M43" s="17"/>
      <c r="N43" s="17"/>
      <c r="O43" s="17"/>
      <c r="P43" s="17"/>
      <c r="Q43" s="20">
        <f t="shared" si="333"/>
        <v>0</v>
      </c>
      <c r="S43" s="17"/>
      <c r="T43" s="17"/>
      <c r="U43" s="17"/>
      <c r="V43" s="17"/>
      <c r="W43" s="17"/>
      <c r="X43" s="17"/>
      <c r="Y43" s="17"/>
      <c r="Z43" s="17"/>
      <c r="AA43" s="17"/>
      <c r="AB43" s="17"/>
      <c r="AC43" s="17"/>
      <c r="AD43" s="17"/>
      <c r="AE43" s="20">
        <f t="shared" si="332"/>
        <v>0</v>
      </c>
      <c r="AG43" s="17"/>
      <c r="AH43" s="17"/>
      <c r="AI43" s="17"/>
      <c r="AJ43" s="17"/>
      <c r="AK43" s="17"/>
      <c r="AL43" s="17"/>
      <c r="AM43" s="17"/>
      <c r="AN43" s="17"/>
      <c r="AO43" s="17"/>
      <c r="AP43" s="17"/>
      <c r="AQ43" s="17"/>
      <c r="AR43" s="17"/>
      <c r="AS43" s="20">
        <f t="shared" si="326"/>
        <v>0</v>
      </c>
      <c r="AU43" s="17"/>
      <c r="AV43" s="17"/>
      <c r="AW43" s="17"/>
      <c r="AX43" s="17"/>
      <c r="AY43" s="17"/>
      <c r="AZ43" s="17"/>
      <c r="BA43" s="17"/>
      <c r="BB43" s="17"/>
      <c r="BC43" s="17"/>
      <c r="BD43" s="17"/>
      <c r="BE43" s="17"/>
      <c r="BF43" s="17"/>
      <c r="BG43" s="20">
        <f t="shared" si="327"/>
        <v>0</v>
      </c>
      <c r="BI43" s="17"/>
      <c r="BJ43" s="17"/>
      <c r="BK43" s="17"/>
      <c r="BL43" s="17"/>
      <c r="BM43" s="17"/>
      <c r="BN43" s="17"/>
      <c r="BO43" s="17"/>
      <c r="BP43" s="17"/>
      <c r="BQ43" s="17"/>
      <c r="BR43" s="17"/>
      <c r="BS43" s="17"/>
      <c r="BT43" s="17"/>
      <c r="BU43" s="20">
        <f t="shared" si="328"/>
        <v>0</v>
      </c>
      <c r="BW43" s="17"/>
      <c r="BX43" s="17"/>
      <c r="BY43" s="17"/>
      <c r="BZ43" s="17"/>
      <c r="CA43" s="17"/>
      <c r="CB43" s="17"/>
      <c r="CC43" s="17"/>
      <c r="CD43" s="17"/>
      <c r="CE43" s="17"/>
      <c r="CF43" s="17"/>
      <c r="CG43" s="17"/>
      <c r="CH43" s="17"/>
      <c r="CI43" s="20">
        <f t="shared" si="329"/>
        <v>0</v>
      </c>
      <c r="CK43" s="17"/>
      <c r="CL43" s="17"/>
      <c r="CM43" s="17"/>
      <c r="CN43" s="17"/>
      <c r="CO43" s="17"/>
      <c r="CP43" s="17"/>
      <c r="CQ43" s="17"/>
      <c r="CR43" s="17"/>
      <c r="CS43" s="17"/>
      <c r="CT43" s="17"/>
      <c r="CU43" s="17"/>
      <c r="CV43" s="17"/>
      <c r="CW43" s="20">
        <f t="shared" si="330"/>
        <v>0</v>
      </c>
      <c r="CY43" s="17"/>
      <c r="CZ43" s="17"/>
      <c r="DA43" s="17"/>
      <c r="DB43" s="17"/>
      <c r="DC43" s="17"/>
      <c r="DD43" s="17"/>
      <c r="DE43" s="17"/>
      <c r="DF43" s="17"/>
      <c r="DG43" s="17"/>
      <c r="DH43" s="17"/>
      <c r="DI43" s="17"/>
      <c r="DJ43" s="17"/>
      <c r="DK43" s="20">
        <f t="shared" si="331"/>
        <v>0</v>
      </c>
    </row>
    <row r="44" spans="3:115" x14ac:dyDescent="0.25">
      <c r="C44" s="15" t="s">
        <v>21</v>
      </c>
      <c r="D44" s="16"/>
      <c r="E44" s="17"/>
      <c r="F44" s="17"/>
      <c r="G44" s="17"/>
      <c r="H44" s="17"/>
      <c r="I44" s="17"/>
      <c r="J44" s="17"/>
      <c r="K44" s="17"/>
      <c r="L44" s="17"/>
      <c r="M44" s="17"/>
      <c r="N44" s="17"/>
      <c r="O44" s="17"/>
      <c r="P44" s="17"/>
      <c r="Q44" s="20">
        <f t="shared" si="333"/>
        <v>0</v>
      </c>
      <c r="S44" s="17"/>
      <c r="T44" s="17"/>
      <c r="U44" s="17"/>
      <c r="V44" s="17"/>
      <c r="W44" s="17"/>
      <c r="X44" s="17"/>
      <c r="Y44" s="17"/>
      <c r="Z44" s="17"/>
      <c r="AA44" s="17"/>
      <c r="AB44" s="17"/>
      <c r="AC44" s="17"/>
      <c r="AD44" s="17"/>
      <c r="AE44" s="20">
        <f t="shared" si="332"/>
        <v>0</v>
      </c>
      <c r="AG44" s="17"/>
      <c r="AH44" s="17"/>
      <c r="AI44" s="17"/>
      <c r="AJ44" s="17"/>
      <c r="AK44" s="17"/>
      <c r="AL44" s="17"/>
      <c r="AM44" s="17"/>
      <c r="AN44" s="17"/>
      <c r="AO44" s="17"/>
      <c r="AP44" s="17"/>
      <c r="AQ44" s="17"/>
      <c r="AR44" s="17"/>
      <c r="AS44" s="20">
        <f t="shared" si="326"/>
        <v>0</v>
      </c>
      <c r="AU44" s="17"/>
      <c r="AV44" s="17"/>
      <c r="AW44" s="17"/>
      <c r="AX44" s="17"/>
      <c r="AY44" s="17"/>
      <c r="AZ44" s="17"/>
      <c r="BA44" s="17"/>
      <c r="BB44" s="17"/>
      <c r="BC44" s="17"/>
      <c r="BD44" s="17"/>
      <c r="BE44" s="17"/>
      <c r="BF44" s="17"/>
      <c r="BG44" s="20">
        <f t="shared" si="327"/>
        <v>0</v>
      </c>
      <c r="BI44" s="17"/>
      <c r="BJ44" s="17"/>
      <c r="BK44" s="17"/>
      <c r="BL44" s="17"/>
      <c r="BM44" s="17"/>
      <c r="BN44" s="17"/>
      <c r="BO44" s="17"/>
      <c r="BP44" s="17"/>
      <c r="BQ44" s="17"/>
      <c r="BR44" s="17"/>
      <c r="BS44" s="17"/>
      <c r="BT44" s="17"/>
      <c r="BU44" s="20">
        <f t="shared" si="328"/>
        <v>0</v>
      </c>
      <c r="BW44" s="17"/>
      <c r="BX44" s="17"/>
      <c r="BY44" s="17"/>
      <c r="BZ44" s="17"/>
      <c r="CA44" s="17"/>
      <c r="CB44" s="17"/>
      <c r="CC44" s="17"/>
      <c r="CD44" s="17"/>
      <c r="CE44" s="17"/>
      <c r="CF44" s="17"/>
      <c r="CG44" s="17"/>
      <c r="CH44" s="17"/>
      <c r="CI44" s="20">
        <f t="shared" si="329"/>
        <v>0</v>
      </c>
      <c r="CK44" s="17"/>
      <c r="CL44" s="17"/>
      <c r="CM44" s="17"/>
      <c r="CN44" s="17"/>
      <c r="CO44" s="17"/>
      <c r="CP44" s="17"/>
      <c r="CQ44" s="17"/>
      <c r="CR44" s="17"/>
      <c r="CS44" s="17"/>
      <c r="CT44" s="17"/>
      <c r="CU44" s="17"/>
      <c r="CV44" s="17"/>
      <c r="CW44" s="20">
        <f t="shared" si="330"/>
        <v>0</v>
      </c>
      <c r="CY44" s="17"/>
      <c r="CZ44" s="17"/>
      <c r="DA44" s="17"/>
      <c r="DB44" s="17"/>
      <c r="DC44" s="17"/>
      <c r="DD44" s="17"/>
      <c r="DE44" s="17"/>
      <c r="DF44" s="17"/>
      <c r="DG44" s="17"/>
      <c r="DH44" s="17"/>
      <c r="DI44" s="17"/>
      <c r="DJ44" s="17"/>
      <c r="DK44" s="20">
        <f t="shared" si="331"/>
        <v>0</v>
      </c>
    </row>
    <row r="45" spans="3:115" x14ac:dyDescent="0.25">
      <c r="C45" s="15" t="s">
        <v>21</v>
      </c>
      <c r="D45" s="16"/>
      <c r="E45" s="17"/>
      <c r="F45" s="17"/>
      <c r="G45" s="17"/>
      <c r="H45" s="17"/>
      <c r="I45" s="17"/>
      <c r="J45" s="17"/>
      <c r="K45" s="17"/>
      <c r="L45" s="17"/>
      <c r="M45" s="17"/>
      <c r="N45" s="17"/>
      <c r="O45" s="17"/>
      <c r="P45" s="17"/>
      <c r="Q45" s="20">
        <f t="shared" si="333"/>
        <v>0</v>
      </c>
      <c r="S45" s="17"/>
      <c r="T45" s="17"/>
      <c r="U45" s="17"/>
      <c r="V45" s="17"/>
      <c r="W45" s="17"/>
      <c r="X45" s="17"/>
      <c r="Y45" s="17"/>
      <c r="Z45" s="17"/>
      <c r="AA45" s="17"/>
      <c r="AB45" s="17"/>
      <c r="AC45" s="17"/>
      <c r="AD45" s="17"/>
      <c r="AE45" s="20">
        <f t="shared" si="332"/>
        <v>0</v>
      </c>
      <c r="AG45" s="17"/>
      <c r="AH45" s="17"/>
      <c r="AI45" s="17"/>
      <c r="AJ45" s="17"/>
      <c r="AK45" s="17"/>
      <c r="AL45" s="17"/>
      <c r="AM45" s="17"/>
      <c r="AN45" s="17"/>
      <c r="AO45" s="17"/>
      <c r="AP45" s="17"/>
      <c r="AQ45" s="17"/>
      <c r="AR45" s="17"/>
      <c r="AS45" s="20">
        <f t="shared" si="326"/>
        <v>0</v>
      </c>
      <c r="AU45" s="17"/>
      <c r="AV45" s="17"/>
      <c r="AW45" s="17"/>
      <c r="AX45" s="17"/>
      <c r="AY45" s="17"/>
      <c r="AZ45" s="17"/>
      <c r="BA45" s="17"/>
      <c r="BB45" s="17"/>
      <c r="BC45" s="17"/>
      <c r="BD45" s="17"/>
      <c r="BE45" s="17"/>
      <c r="BF45" s="17"/>
      <c r="BG45" s="20">
        <f t="shared" si="327"/>
        <v>0</v>
      </c>
      <c r="BI45" s="17"/>
      <c r="BJ45" s="17"/>
      <c r="BK45" s="17"/>
      <c r="BL45" s="17"/>
      <c r="BM45" s="17"/>
      <c r="BN45" s="17"/>
      <c r="BO45" s="17"/>
      <c r="BP45" s="17"/>
      <c r="BQ45" s="17"/>
      <c r="BR45" s="17"/>
      <c r="BS45" s="17"/>
      <c r="BT45" s="17"/>
      <c r="BU45" s="20">
        <f t="shared" si="328"/>
        <v>0</v>
      </c>
      <c r="BW45" s="17"/>
      <c r="BX45" s="17"/>
      <c r="BY45" s="17"/>
      <c r="BZ45" s="17"/>
      <c r="CA45" s="17"/>
      <c r="CB45" s="17"/>
      <c r="CC45" s="17"/>
      <c r="CD45" s="17"/>
      <c r="CE45" s="17"/>
      <c r="CF45" s="17"/>
      <c r="CG45" s="17"/>
      <c r="CH45" s="17"/>
      <c r="CI45" s="20">
        <f t="shared" si="329"/>
        <v>0</v>
      </c>
      <c r="CK45" s="17"/>
      <c r="CL45" s="17"/>
      <c r="CM45" s="17"/>
      <c r="CN45" s="17"/>
      <c r="CO45" s="17"/>
      <c r="CP45" s="17"/>
      <c r="CQ45" s="17"/>
      <c r="CR45" s="17"/>
      <c r="CS45" s="17"/>
      <c r="CT45" s="17"/>
      <c r="CU45" s="17"/>
      <c r="CV45" s="17"/>
      <c r="CW45" s="20">
        <f t="shared" si="330"/>
        <v>0</v>
      </c>
      <c r="CY45" s="17"/>
      <c r="CZ45" s="17"/>
      <c r="DA45" s="17"/>
      <c r="DB45" s="17"/>
      <c r="DC45" s="17"/>
      <c r="DD45" s="17"/>
      <c r="DE45" s="17"/>
      <c r="DF45" s="17"/>
      <c r="DG45" s="17"/>
      <c r="DH45" s="17"/>
      <c r="DI45" s="17"/>
      <c r="DJ45" s="17"/>
      <c r="DK45" s="20">
        <f t="shared" si="331"/>
        <v>0</v>
      </c>
    </row>
    <row r="46" spans="3:115" x14ac:dyDescent="0.25">
      <c r="C46" s="12" t="s">
        <v>4</v>
      </c>
      <c r="E46" s="19" cm="1">
        <f t="array" aca="1" ref="E46" ca="1">SUM(INDIRECT(ADDRESS(savings_min_row,COLUMN())&amp;":" &amp; ADDRESS(savings_max_row, COLUMN())))</f>
        <v>1000</v>
      </c>
      <c r="F46" s="19" cm="1">
        <f t="array" aca="1" ref="F46" ca="1">SUM(INDIRECT(ADDRESS(savings_min_row,COLUMN())&amp;":" &amp; ADDRESS(savings_max_row, COLUMN())))</f>
        <v>1800</v>
      </c>
      <c r="G46" s="19" cm="1">
        <f t="array" aca="1" ref="G46" ca="1">SUM(INDIRECT(ADDRESS(savings_min_row,COLUMN())&amp;":" &amp; ADDRESS(savings_max_row, COLUMN())))</f>
        <v>0</v>
      </c>
      <c r="H46" s="19" cm="1">
        <f t="array" aca="1" ref="H46" ca="1">SUM(INDIRECT(ADDRESS(savings_min_row,COLUMN())&amp;":" &amp; ADDRESS(savings_max_row, COLUMN())))</f>
        <v>0</v>
      </c>
      <c r="I46" s="19" cm="1">
        <f t="array" aca="1" ref="I46" ca="1">SUM(INDIRECT(ADDRESS(savings_min_row,COLUMN())&amp;":" &amp; ADDRESS(savings_max_row, COLUMN())))</f>
        <v>0</v>
      </c>
      <c r="J46" s="19" cm="1">
        <f t="array" aca="1" ref="J46" ca="1">SUM(INDIRECT(ADDRESS(savings_min_row,COLUMN())&amp;":" &amp; ADDRESS(savings_max_row, COLUMN())))</f>
        <v>0</v>
      </c>
      <c r="K46" s="19" cm="1">
        <f t="array" aca="1" ref="K46" ca="1">SUM(INDIRECT(ADDRESS(savings_min_row,COLUMN())&amp;":" &amp; ADDRESS(savings_max_row, COLUMN())))</f>
        <v>0</v>
      </c>
      <c r="L46" s="19" cm="1">
        <f t="array" aca="1" ref="L46" ca="1">SUM(INDIRECT(ADDRESS(savings_min_row,COLUMN())&amp;":" &amp; ADDRESS(savings_max_row, COLUMN())))</f>
        <v>0</v>
      </c>
      <c r="M46" s="19" cm="1">
        <f t="array" aca="1" ref="M46" ca="1">SUM(INDIRECT(ADDRESS(savings_min_row,COLUMN())&amp;":" &amp; ADDRESS(savings_max_row, COLUMN())))</f>
        <v>0</v>
      </c>
      <c r="N46" s="19" cm="1">
        <f t="array" aca="1" ref="N46" ca="1">SUM(INDIRECT(ADDRESS(savings_min_row,COLUMN())&amp;":" &amp; ADDRESS(savings_max_row, COLUMN())))</f>
        <v>0</v>
      </c>
      <c r="O46" s="19" cm="1">
        <f t="array" aca="1" ref="O46" ca="1">SUM(INDIRECT(ADDRESS(savings_min_row,COLUMN())&amp;":" &amp; ADDRESS(savings_max_row, COLUMN())))</f>
        <v>1200</v>
      </c>
      <c r="P46" s="19" cm="1">
        <f t="array" aca="1" ref="P46" ca="1">SUM(INDIRECT(ADDRESS(savings_min_row,COLUMN())&amp;":" &amp; ADDRESS(savings_max_row, COLUMN())))</f>
        <v>1500</v>
      </c>
      <c r="Q46" s="19" cm="1">
        <f t="array" aca="1" ref="Q46" ca="1">SUM(INDIRECT(ADDRESS(savings_min_row,COLUMN())&amp;":" &amp; ADDRESS(savings_max_row, COLUMN())))</f>
        <v>5500</v>
      </c>
      <c r="S46" s="19" cm="1">
        <f t="array" aca="1" ref="S46" ca="1">SUM(INDIRECT(ADDRESS(savings_min_row,COLUMN())&amp;":" &amp; ADDRESS(savings_max_row, COLUMN())))</f>
        <v>0</v>
      </c>
      <c r="T46" s="19" cm="1">
        <f t="array" aca="1" ref="T46" ca="1">SUM(INDIRECT(ADDRESS(savings_min_row,COLUMN())&amp;":" &amp; ADDRESS(savings_max_row, COLUMN())))</f>
        <v>0</v>
      </c>
      <c r="U46" s="19" cm="1">
        <f t="array" aca="1" ref="U46" ca="1">SUM(INDIRECT(ADDRESS(savings_min_row,COLUMN())&amp;":" &amp; ADDRESS(savings_max_row, COLUMN())))</f>
        <v>0</v>
      </c>
      <c r="V46" s="19" cm="1">
        <f t="array" aca="1" ref="V46" ca="1">SUM(INDIRECT(ADDRESS(savings_min_row,COLUMN())&amp;":" &amp; ADDRESS(savings_max_row, COLUMN())))</f>
        <v>0</v>
      </c>
      <c r="W46" s="19" cm="1">
        <f t="array" aca="1" ref="W46" ca="1">SUM(INDIRECT(ADDRESS(savings_min_row,COLUMN())&amp;":" &amp; ADDRESS(savings_max_row, COLUMN())))</f>
        <v>0</v>
      </c>
      <c r="X46" s="19" cm="1">
        <f t="array" aca="1" ref="X46" ca="1">SUM(INDIRECT(ADDRESS(savings_min_row,COLUMN())&amp;":" &amp; ADDRESS(savings_max_row, COLUMN())))</f>
        <v>0</v>
      </c>
      <c r="Y46" s="19" cm="1">
        <f t="array" aca="1" ref="Y46" ca="1">SUM(INDIRECT(ADDRESS(savings_min_row,COLUMN())&amp;":" &amp; ADDRESS(savings_max_row, COLUMN())))</f>
        <v>0</v>
      </c>
      <c r="Z46" s="19" cm="1">
        <f t="array" aca="1" ref="Z46" ca="1">SUM(INDIRECT(ADDRESS(savings_min_row,COLUMN())&amp;":" &amp; ADDRESS(savings_max_row, COLUMN())))</f>
        <v>0</v>
      </c>
      <c r="AA46" s="19" cm="1">
        <f t="array" aca="1" ref="AA46" ca="1">SUM(INDIRECT(ADDRESS(savings_min_row,COLUMN())&amp;":" &amp; ADDRESS(savings_max_row, COLUMN())))</f>
        <v>0</v>
      </c>
      <c r="AB46" s="19" cm="1">
        <f t="array" aca="1" ref="AB46" ca="1">SUM(INDIRECT(ADDRESS(savings_min_row,COLUMN())&amp;":" &amp; ADDRESS(savings_max_row, COLUMN())))</f>
        <v>0</v>
      </c>
      <c r="AC46" s="19" cm="1">
        <f t="array" aca="1" ref="AC46" ca="1">SUM(INDIRECT(ADDRESS(savings_min_row,COLUMN())&amp;":" &amp; ADDRESS(savings_max_row, COLUMN())))</f>
        <v>0</v>
      </c>
      <c r="AD46" s="19" cm="1">
        <f t="array" aca="1" ref="AD46" ca="1">SUM(INDIRECT(ADDRESS(savings_min_row,COLUMN())&amp;":" &amp; ADDRESS(savings_max_row, COLUMN())))</f>
        <v>0</v>
      </c>
      <c r="AE46" s="19" cm="1">
        <f t="array" aca="1" ref="AE46" ca="1">SUM(INDIRECT(ADDRESS(savings_min_row,COLUMN())&amp;":" &amp; ADDRESS(savings_max_row, COLUMN())))</f>
        <v>0</v>
      </c>
      <c r="AG46" s="19" cm="1">
        <f t="array" aca="1" ref="AG46" ca="1">SUM(INDIRECT(ADDRESS(savings_min_row,COLUMN())&amp;":" &amp; ADDRESS(savings_max_row, COLUMN())))</f>
        <v>0</v>
      </c>
      <c r="AH46" s="19" cm="1">
        <f t="array" aca="1" ref="AH46" ca="1">SUM(INDIRECT(ADDRESS(savings_min_row,COLUMN())&amp;":" &amp; ADDRESS(savings_max_row, COLUMN())))</f>
        <v>0</v>
      </c>
      <c r="AI46" s="19" cm="1">
        <f t="array" aca="1" ref="AI46" ca="1">SUM(INDIRECT(ADDRESS(savings_min_row,COLUMN())&amp;":" &amp; ADDRESS(savings_max_row, COLUMN())))</f>
        <v>0</v>
      </c>
      <c r="AJ46" s="19" cm="1">
        <f t="array" aca="1" ref="AJ46" ca="1">SUM(INDIRECT(ADDRESS(savings_min_row,COLUMN())&amp;":" &amp; ADDRESS(savings_max_row, COLUMN())))</f>
        <v>0</v>
      </c>
      <c r="AK46" s="19" cm="1">
        <f t="array" aca="1" ref="AK46" ca="1">SUM(INDIRECT(ADDRESS(savings_min_row,COLUMN())&amp;":" &amp; ADDRESS(savings_max_row, COLUMN())))</f>
        <v>0</v>
      </c>
      <c r="AL46" s="19" cm="1">
        <f t="array" aca="1" ref="AL46" ca="1">SUM(INDIRECT(ADDRESS(savings_min_row,COLUMN())&amp;":" &amp; ADDRESS(savings_max_row, COLUMN())))</f>
        <v>0</v>
      </c>
      <c r="AM46" s="19" cm="1">
        <f t="array" aca="1" ref="AM46" ca="1">SUM(INDIRECT(ADDRESS(savings_min_row,COLUMN())&amp;":" &amp; ADDRESS(savings_max_row, COLUMN())))</f>
        <v>0</v>
      </c>
      <c r="AN46" s="19" cm="1">
        <f t="array" aca="1" ref="AN46" ca="1">SUM(INDIRECT(ADDRESS(savings_min_row,COLUMN())&amp;":" &amp; ADDRESS(savings_max_row, COLUMN())))</f>
        <v>0</v>
      </c>
      <c r="AO46" s="19" cm="1">
        <f t="array" aca="1" ref="AO46" ca="1">SUM(INDIRECT(ADDRESS(savings_min_row,COLUMN())&amp;":" &amp; ADDRESS(savings_max_row, COLUMN())))</f>
        <v>0</v>
      </c>
      <c r="AP46" s="19" cm="1">
        <f t="array" aca="1" ref="AP46" ca="1">SUM(INDIRECT(ADDRESS(savings_min_row,COLUMN())&amp;":" &amp; ADDRESS(savings_max_row, COLUMN())))</f>
        <v>0</v>
      </c>
      <c r="AQ46" s="19" cm="1">
        <f t="array" aca="1" ref="AQ46" ca="1">SUM(INDIRECT(ADDRESS(savings_min_row,COLUMN())&amp;":" &amp; ADDRESS(savings_max_row, COLUMN())))</f>
        <v>0</v>
      </c>
      <c r="AR46" s="19" cm="1">
        <f t="array" aca="1" ref="AR46" ca="1">SUM(INDIRECT(ADDRESS(savings_min_row,COLUMN())&amp;":" &amp; ADDRESS(savings_max_row, COLUMN())))</f>
        <v>0</v>
      </c>
      <c r="AS46" s="19" cm="1">
        <f t="array" aca="1" ref="AS46" ca="1">SUM(INDIRECT(ADDRESS(savings_min_row,COLUMN())&amp;":" &amp; ADDRESS(savings_max_row, COLUMN())))</f>
        <v>0</v>
      </c>
      <c r="AU46" s="19" cm="1">
        <f t="array" aca="1" ref="AU46" ca="1">SUM(INDIRECT(ADDRESS(savings_min_row,COLUMN())&amp;":" &amp; ADDRESS(savings_max_row, COLUMN())))</f>
        <v>0</v>
      </c>
      <c r="AV46" s="19" cm="1">
        <f t="array" aca="1" ref="AV46" ca="1">SUM(INDIRECT(ADDRESS(savings_min_row,COLUMN())&amp;":" &amp; ADDRESS(savings_max_row, COLUMN())))</f>
        <v>0</v>
      </c>
      <c r="AW46" s="19" cm="1">
        <f t="array" aca="1" ref="AW46" ca="1">SUM(INDIRECT(ADDRESS(savings_min_row,COLUMN())&amp;":" &amp; ADDRESS(savings_max_row, COLUMN())))</f>
        <v>0</v>
      </c>
      <c r="AX46" s="19" cm="1">
        <f t="array" aca="1" ref="AX46" ca="1">SUM(INDIRECT(ADDRESS(savings_min_row,COLUMN())&amp;":" &amp; ADDRESS(savings_max_row, COLUMN())))</f>
        <v>0</v>
      </c>
      <c r="AY46" s="19" cm="1">
        <f t="array" aca="1" ref="AY46" ca="1">SUM(INDIRECT(ADDRESS(savings_min_row,COLUMN())&amp;":" &amp; ADDRESS(savings_max_row, COLUMN())))</f>
        <v>0</v>
      </c>
      <c r="AZ46" s="19" cm="1">
        <f t="array" aca="1" ref="AZ46" ca="1">SUM(INDIRECT(ADDRESS(savings_min_row,COLUMN())&amp;":" &amp; ADDRESS(savings_max_row, COLUMN())))</f>
        <v>0</v>
      </c>
      <c r="BA46" s="19" cm="1">
        <f t="array" aca="1" ref="BA46" ca="1">SUM(INDIRECT(ADDRESS(savings_min_row,COLUMN())&amp;":" &amp; ADDRESS(savings_max_row, COLUMN())))</f>
        <v>0</v>
      </c>
      <c r="BB46" s="19" cm="1">
        <f t="array" aca="1" ref="BB46" ca="1">SUM(INDIRECT(ADDRESS(savings_min_row,COLUMN())&amp;":" &amp; ADDRESS(savings_max_row, COLUMN())))</f>
        <v>0</v>
      </c>
      <c r="BC46" s="19" cm="1">
        <f t="array" aca="1" ref="BC46" ca="1">SUM(INDIRECT(ADDRESS(savings_min_row,COLUMN())&amp;":" &amp; ADDRESS(savings_max_row, COLUMN())))</f>
        <v>0</v>
      </c>
      <c r="BD46" s="19" cm="1">
        <f t="array" aca="1" ref="BD46" ca="1">SUM(INDIRECT(ADDRESS(savings_min_row,COLUMN())&amp;":" &amp; ADDRESS(savings_max_row, COLUMN())))</f>
        <v>0</v>
      </c>
      <c r="BE46" s="19" cm="1">
        <f t="array" aca="1" ref="BE46" ca="1">SUM(INDIRECT(ADDRESS(savings_min_row,COLUMN())&amp;":" &amp; ADDRESS(savings_max_row, COLUMN())))</f>
        <v>0</v>
      </c>
      <c r="BF46" s="19" cm="1">
        <f t="array" aca="1" ref="BF46" ca="1">SUM(INDIRECT(ADDRESS(savings_min_row,COLUMN())&amp;":" &amp; ADDRESS(savings_max_row, COLUMN())))</f>
        <v>0</v>
      </c>
      <c r="BG46" s="19" cm="1">
        <f t="array" aca="1" ref="BG46" ca="1">SUM(INDIRECT(ADDRESS(savings_min_row,COLUMN())&amp;":" &amp; ADDRESS(savings_max_row, COLUMN())))</f>
        <v>0</v>
      </c>
      <c r="BI46" s="19" cm="1">
        <f t="array" aca="1" ref="BI46" ca="1">SUM(INDIRECT(ADDRESS(savings_min_row,COLUMN())&amp;":" &amp; ADDRESS(savings_max_row, COLUMN())))</f>
        <v>0</v>
      </c>
      <c r="BJ46" s="19" cm="1">
        <f t="array" aca="1" ref="BJ46" ca="1">SUM(INDIRECT(ADDRESS(savings_min_row,COLUMN())&amp;":" &amp; ADDRESS(savings_max_row, COLUMN())))</f>
        <v>0</v>
      </c>
      <c r="BK46" s="19" cm="1">
        <f t="array" aca="1" ref="BK46" ca="1">SUM(INDIRECT(ADDRESS(savings_min_row,COLUMN())&amp;":" &amp; ADDRESS(savings_max_row, COLUMN())))</f>
        <v>0</v>
      </c>
      <c r="BL46" s="19" cm="1">
        <f t="array" aca="1" ref="BL46" ca="1">SUM(INDIRECT(ADDRESS(savings_min_row,COLUMN())&amp;":" &amp; ADDRESS(savings_max_row, COLUMN())))</f>
        <v>0</v>
      </c>
      <c r="BM46" s="19" cm="1">
        <f t="array" aca="1" ref="BM46" ca="1">SUM(INDIRECT(ADDRESS(savings_min_row,COLUMN())&amp;":" &amp; ADDRESS(savings_max_row, COLUMN())))</f>
        <v>0</v>
      </c>
      <c r="BN46" s="19" cm="1">
        <f t="array" aca="1" ref="BN46" ca="1">SUM(INDIRECT(ADDRESS(savings_min_row,COLUMN())&amp;":" &amp; ADDRESS(savings_max_row, COLUMN())))</f>
        <v>0</v>
      </c>
      <c r="BO46" s="19" cm="1">
        <f t="array" aca="1" ref="BO46" ca="1">SUM(INDIRECT(ADDRESS(savings_min_row,COLUMN())&amp;":" &amp; ADDRESS(savings_max_row, COLUMN())))</f>
        <v>0</v>
      </c>
      <c r="BP46" s="19" cm="1">
        <f t="array" aca="1" ref="BP46" ca="1">SUM(INDIRECT(ADDRESS(savings_min_row,COLUMN())&amp;":" &amp; ADDRESS(savings_max_row, COLUMN())))</f>
        <v>0</v>
      </c>
      <c r="BQ46" s="19" cm="1">
        <f t="array" aca="1" ref="BQ46" ca="1">SUM(INDIRECT(ADDRESS(savings_min_row,COLUMN())&amp;":" &amp; ADDRESS(savings_max_row, COLUMN())))</f>
        <v>0</v>
      </c>
      <c r="BR46" s="19" cm="1">
        <f t="array" aca="1" ref="BR46" ca="1">SUM(INDIRECT(ADDRESS(savings_min_row,COLUMN())&amp;":" &amp; ADDRESS(savings_max_row, COLUMN())))</f>
        <v>0</v>
      </c>
      <c r="BS46" s="19" cm="1">
        <f t="array" aca="1" ref="BS46" ca="1">SUM(INDIRECT(ADDRESS(savings_min_row,COLUMN())&amp;":" &amp; ADDRESS(savings_max_row, COLUMN())))</f>
        <v>0</v>
      </c>
      <c r="BT46" s="19" cm="1">
        <f t="array" aca="1" ref="BT46" ca="1">SUM(INDIRECT(ADDRESS(savings_min_row,COLUMN())&amp;":" &amp; ADDRESS(savings_max_row, COLUMN())))</f>
        <v>0</v>
      </c>
      <c r="BU46" s="19" cm="1">
        <f t="array" aca="1" ref="BU46" ca="1">SUM(INDIRECT(ADDRESS(savings_min_row,COLUMN())&amp;":" &amp; ADDRESS(savings_max_row, COLUMN())))</f>
        <v>0</v>
      </c>
      <c r="BW46" s="19" cm="1">
        <f t="array" aca="1" ref="BW46" ca="1">SUM(INDIRECT(ADDRESS(savings_min_row,COLUMN())&amp;":" &amp; ADDRESS(savings_max_row, COLUMN())))</f>
        <v>0</v>
      </c>
      <c r="BX46" s="19" cm="1">
        <f t="array" aca="1" ref="BX46" ca="1">SUM(INDIRECT(ADDRESS(savings_min_row,COLUMN())&amp;":" &amp; ADDRESS(savings_max_row, COLUMN())))</f>
        <v>0</v>
      </c>
      <c r="BY46" s="19" cm="1">
        <f t="array" aca="1" ref="BY46" ca="1">SUM(INDIRECT(ADDRESS(savings_min_row,COLUMN())&amp;":" &amp; ADDRESS(savings_max_row, COLUMN())))</f>
        <v>0</v>
      </c>
      <c r="BZ46" s="19" cm="1">
        <f t="array" aca="1" ref="BZ46" ca="1">SUM(INDIRECT(ADDRESS(savings_min_row,COLUMN())&amp;":" &amp; ADDRESS(savings_max_row, COLUMN())))</f>
        <v>0</v>
      </c>
      <c r="CA46" s="19" cm="1">
        <f t="array" aca="1" ref="CA46" ca="1">SUM(INDIRECT(ADDRESS(savings_min_row,COLUMN())&amp;":" &amp; ADDRESS(savings_max_row, COLUMN())))</f>
        <v>0</v>
      </c>
      <c r="CB46" s="19" cm="1">
        <f t="array" aca="1" ref="CB46" ca="1">SUM(INDIRECT(ADDRESS(savings_min_row,COLUMN())&amp;":" &amp; ADDRESS(savings_max_row, COLUMN())))</f>
        <v>0</v>
      </c>
      <c r="CC46" s="19" cm="1">
        <f t="array" aca="1" ref="CC46" ca="1">SUM(INDIRECT(ADDRESS(savings_min_row,COLUMN())&amp;":" &amp; ADDRESS(savings_max_row, COLUMN())))</f>
        <v>0</v>
      </c>
      <c r="CD46" s="19" cm="1">
        <f t="array" aca="1" ref="CD46" ca="1">SUM(INDIRECT(ADDRESS(savings_min_row,COLUMN())&amp;":" &amp; ADDRESS(savings_max_row, COLUMN())))</f>
        <v>0</v>
      </c>
      <c r="CE46" s="19" cm="1">
        <f t="array" aca="1" ref="CE46" ca="1">SUM(INDIRECT(ADDRESS(savings_min_row,COLUMN())&amp;":" &amp; ADDRESS(savings_max_row, COLUMN())))</f>
        <v>0</v>
      </c>
      <c r="CF46" s="19" cm="1">
        <f t="array" aca="1" ref="CF46" ca="1">SUM(INDIRECT(ADDRESS(savings_min_row,COLUMN())&amp;":" &amp; ADDRESS(savings_max_row, COLUMN())))</f>
        <v>0</v>
      </c>
      <c r="CG46" s="19" cm="1">
        <f t="array" aca="1" ref="CG46" ca="1">SUM(INDIRECT(ADDRESS(savings_min_row,COLUMN())&amp;":" &amp; ADDRESS(savings_max_row, COLUMN())))</f>
        <v>0</v>
      </c>
      <c r="CH46" s="19" cm="1">
        <f t="array" aca="1" ref="CH46" ca="1">SUM(INDIRECT(ADDRESS(savings_min_row,COLUMN())&amp;":" &amp; ADDRESS(savings_max_row, COLUMN())))</f>
        <v>0</v>
      </c>
      <c r="CI46" s="19" cm="1">
        <f t="array" aca="1" ref="CI46" ca="1">SUM(INDIRECT(ADDRESS(savings_min_row,COLUMN())&amp;":" &amp; ADDRESS(savings_max_row, COLUMN())))</f>
        <v>0</v>
      </c>
      <c r="CK46" s="19" cm="1">
        <f t="array" aca="1" ref="CK46" ca="1">SUM(INDIRECT(ADDRESS(savings_min_row,COLUMN())&amp;":" &amp; ADDRESS(savings_max_row, COLUMN())))</f>
        <v>0</v>
      </c>
      <c r="CL46" s="19" cm="1">
        <f t="array" aca="1" ref="CL46" ca="1">SUM(INDIRECT(ADDRESS(savings_min_row,COLUMN())&amp;":" &amp; ADDRESS(savings_max_row, COLUMN())))</f>
        <v>0</v>
      </c>
      <c r="CM46" s="19" cm="1">
        <f t="array" aca="1" ref="CM46" ca="1">SUM(INDIRECT(ADDRESS(savings_min_row,COLUMN())&amp;":" &amp; ADDRESS(savings_max_row, COLUMN())))</f>
        <v>0</v>
      </c>
      <c r="CN46" s="19" cm="1">
        <f t="array" aca="1" ref="CN46" ca="1">SUM(INDIRECT(ADDRESS(savings_min_row,COLUMN())&amp;":" &amp; ADDRESS(savings_max_row, COLUMN())))</f>
        <v>0</v>
      </c>
      <c r="CO46" s="19" cm="1">
        <f t="array" aca="1" ref="CO46" ca="1">SUM(INDIRECT(ADDRESS(savings_min_row,COLUMN())&amp;":" &amp; ADDRESS(savings_max_row, COLUMN())))</f>
        <v>0</v>
      </c>
      <c r="CP46" s="19" cm="1">
        <f t="array" aca="1" ref="CP46" ca="1">SUM(INDIRECT(ADDRESS(savings_min_row,COLUMN())&amp;":" &amp; ADDRESS(savings_max_row, COLUMN())))</f>
        <v>0</v>
      </c>
      <c r="CQ46" s="19" cm="1">
        <f t="array" aca="1" ref="CQ46" ca="1">SUM(INDIRECT(ADDRESS(savings_min_row,COLUMN())&amp;":" &amp; ADDRESS(savings_max_row, COLUMN())))</f>
        <v>0</v>
      </c>
      <c r="CR46" s="19" cm="1">
        <f t="array" aca="1" ref="CR46" ca="1">SUM(INDIRECT(ADDRESS(savings_min_row,COLUMN())&amp;":" &amp; ADDRESS(savings_max_row, COLUMN())))</f>
        <v>0</v>
      </c>
      <c r="CS46" s="19" cm="1">
        <f t="array" aca="1" ref="CS46" ca="1">SUM(INDIRECT(ADDRESS(savings_min_row,COLUMN())&amp;":" &amp; ADDRESS(savings_max_row, COLUMN())))</f>
        <v>0</v>
      </c>
      <c r="CT46" s="19" cm="1">
        <f t="array" aca="1" ref="CT46" ca="1">SUM(INDIRECT(ADDRESS(savings_min_row,COLUMN())&amp;":" &amp; ADDRESS(savings_max_row, COLUMN())))</f>
        <v>0</v>
      </c>
      <c r="CU46" s="19" cm="1">
        <f t="array" aca="1" ref="CU46" ca="1">SUM(INDIRECT(ADDRESS(savings_min_row,COLUMN())&amp;":" &amp; ADDRESS(savings_max_row, COLUMN())))</f>
        <v>0</v>
      </c>
      <c r="CV46" s="19" cm="1">
        <f t="array" aca="1" ref="CV46" ca="1">SUM(INDIRECT(ADDRESS(savings_min_row,COLUMN())&amp;":" &amp; ADDRESS(savings_max_row, COLUMN())))</f>
        <v>0</v>
      </c>
      <c r="CW46" s="19" cm="1">
        <f t="array" aca="1" ref="CW46" ca="1">SUM(INDIRECT(ADDRESS(savings_min_row,COLUMN())&amp;":" &amp; ADDRESS(savings_max_row, COLUMN())))</f>
        <v>0</v>
      </c>
      <c r="CY46" s="19" cm="1">
        <f t="array" aca="1" ref="CY46" ca="1">SUM(INDIRECT(ADDRESS(savings_min_row,COLUMN())&amp;":" &amp; ADDRESS(savings_max_row, COLUMN())))</f>
        <v>0</v>
      </c>
      <c r="CZ46" s="19" cm="1">
        <f t="array" aca="1" ref="CZ46" ca="1">SUM(INDIRECT(ADDRESS(savings_min_row,COLUMN())&amp;":" &amp; ADDRESS(savings_max_row, COLUMN())))</f>
        <v>0</v>
      </c>
      <c r="DA46" s="19" cm="1">
        <f t="array" aca="1" ref="DA46" ca="1">SUM(INDIRECT(ADDRESS(savings_min_row,COLUMN())&amp;":" &amp; ADDRESS(savings_max_row, COLUMN())))</f>
        <v>0</v>
      </c>
      <c r="DB46" s="19" cm="1">
        <f t="array" aca="1" ref="DB46" ca="1">SUM(INDIRECT(ADDRESS(savings_min_row,COLUMN())&amp;":" &amp; ADDRESS(savings_max_row, COLUMN())))</f>
        <v>0</v>
      </c>
      <c r="DC46" s="19" cm="1">
        <f t="array" aca="1" ref="DC46" ca="1">SUM(INDIRECT(ADDRESS(savings_min_row,COLUMN())&amp;":" &amp; ADDRESS(savings_max_row, COLUMN())))</f>
        <v>0</v>
      </c>
      <c r="DD46" s="19" cm="1">
        <f t="array" aca="1" ref="DD46" ca="1">SUM(INDIRECT(ADDRESS(savings_min_row,COLUMN())&amp;":" &amp; ADDRESS(savings_max_row, COLUMN())))</f>
        <v>0</v>
      </c>
      <c r="DE46" s="19" cm="1">
        <f t="array" aca="1" ref="DE46" ca="1">SUM(INDIRECT(ADDRESS(savings_min_row,COLUMN())&amp;":" &amp; ADDRESS(savings_max_row, COLUMN())))</f>
        <v>0</v>
      </c>
      <c r="DF46" s="19" cm="1">
        <f t="array" aca="1" ref="DF46" ca="1">SUM(INDIRECT(ADDRESS(savings_min_row,COLUMN())&amp;":" &amp; ADDRESS(savings_max_row, COLUMN())))</f>
        <v>0</v>
      </c>
      <c r="DG46" s="19" cm="1">
        <f t="array" aca="1" ref="DG46" ca="1">SUM(INDIRECT(ADDRESS(savings_min_row,COLUMN())&amp;":" &amp; ADDRESS(savings_max_row, COLUMN())))</f>
        <v>0</v>
      </c>
      <c r="DH46" s="19" cm="1">
        <f t="array" aca="1" ref="DH46" ca="1">SUM(INDIRECT(ADDRESS(savings_min_row,COLUMN())&amp;":" &amp; ADDRESS(savings_max_row, COLUMN())))</f>
        <v>0</v>
      </c>
      <c r="DI46" s="19" cm="1">
        <f t="array" aca="1" ref="DI46" ca="1">SUM(INDIRECT(ADDRESS(savings_min_row,COLUMN())&amp;":" &amp; ADDRESS(savings_max_row, COLUMN())))</f>
        <v>0</v>
      </c>
      <c r="DJ46" s="19" cm="1">
        <f t="array" aca="1" ref="DJ46" ca="1">SUM(INDIRECT(ADDRESS(savings_min_row,COLUMN())&amp;":" &amp; ADDRESS(savings_max_row, COLUMN())))</f>
        <v>0</v>
      </c>
      <c r="DK46" s="19" cm="1">
        <f t="array" aca="1" ref="DK46" ca="1">SUM(INDIRECT(ADDRESS(savings_min_row,COLUMN())&amp;":" &amp; ADDRESS(savings_max_row, COLUMN())))</f>
        <v>0</v>
      </c>
    </row>
    <row r="51" spans="17:17" x14ac:dyDescent="0.25">
      <c r="Q51" t="s">
        <v>29</v>
      </c>
    </row>
  </sheetData>
  <mergeCells count="10">
    <mergeCell ref="BI5:BU5"/>
    <mergeCell ref="BW5:CI5"/>
    <mergeCell ref="CK5:CW5"/>
    <mergeCell ref="CY5:DK5"/>
    <mergeCell ref="A1:D2"/>
    <mergeCell ref="E5:Q5"/>
    <mergeCell ref="S5:AE5"/>
    <mergeCell ref="AG5:AS5"/>
    <mergeCell ref="AU5:BG5"/>
    <mergeCell ref="E3:M4"/>
  </mergeCells>
  <conditionalFormatting sqref="C10:C19 E10:Q19 AG10:AS19 AU10:BG19 BI10:BU19 BW10:CI19 CK10:CW19 CY10:DK19">
    <cfRule type="expression" dxfId="37" priority="11">
      <formula>ROW(A10)&lt;=income_max_row</formula>
    </cfRule>
  </conditionalFormatting>
  <conditionalFormatting sqref="C23:C31 E23:Q32 S23:AE32 AG23:AS32 AU23:BG32 BI23:BU32 BW23:CI32 CK23:CW32 CY23:DK32">
    <cfRule type="expression" dxfId="36" priority="10">
      <formula>ROW(A23)&lt;expenses_max_row</formula>
    </cfRule>
  </conditionalFormatting>
  <conditionalFormatting sqref="C36:C45 E36:Q45 S36:AE45 AG36:AS45 AU36:BG45 BI36:BU45 BW36:CI45 CK36:CW45 CY36:DK45">
    <cfRule type="expression" dxfId="35" priority="9">
      <formula>ROW(A36)&lt;savings_max_row</formula>
    </cfRule>
  </conditionalFormatting>
  <conditionalFormatting sqref="E6:Q7 S6:AE7 AG6:AS7 AU6:BG7 BI6:BU7 BW6:CI7 CK6:CW7 CY6:DK7">
    <cfRule type="expression" dxfId="34" priority="6" stopIfTrue="1">
      <formula>AND(E$20=0, E$33=0, E$46=0)</formula>
    </cfRule>
    <cfRule type="expression" dxfId="33" priority="7" stopIfTrue="1">
      <formula>E$7=0</formula>
    </cfRule>
    <cfRule type="expression" dxfId="32" priority="8">
      <formula>E$7&lt;0</formula>
    </cfRule>
  </conditionalFormatting>
  <conditionalFormatting sqref="S10:U10 AE10:AE11 S11:AD11 S12:AE13">
    <cfRule type="expression" dxfId="31" priority="3">
      <formula>ROW(Q10)&lt;=income_max_row</formula>
    </cfRule>
  </conditionalFormatting>
  <conditionalFormatting sqref="S14:AE19">
    <cfRule type="expression" dxfId="30" priority="24">
      <formula>ROW(#REF!)&lt;=income_max_row</formula>
    </cfRule>
  </conditionalFormatting>
  <conditionalFormatting sqref="V10:AD10">
    <cfRule type="expression" dxfId="29" priority="4">
      <formula>ROW(S10)&lt;=income_max_row</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365B-2717-4D25-9F61-AC255E810600}">
  <dimension ref="A1:Q27"/>
  <sheetViews>
    <sheetView tabSelected="1" zoomScale="86" zoomScaleNormal="86" workbookViewId="0">
      <selection activeCell="O6" sqref="O6"/>
    </sheetView>
  </sheetViews>
  <sheetFormatPr defaultRowHeight="13.8" x14ac:dyDescent="0.25"/>
  <cols>
    <col min="1" max="2" width="2.54296875" customWidth="1"/>
    <col min="3" max="3" width="13.26953125" customWidth="1"/>
    <col min="4" max="4" width="13.08984375" customWidth="1"/>
    <col min="5" max="5" width="24.7265625" style="29" customWidth="1"/>
    <col min="6" max="6" width="11.36328125" customWidth="1"/>
    <col min="7" max="7" width="17.90625" customWidth="1"/>
    <col min="8" max="8" width="12.1796875" customWidth="1"/>
    <col min="9" max="9" width="15.6328125" customWidth="1"/>
  </cols>
  <sheetData>
    <row r="1" spans="1:17" x14ac:dyDescent="0.25">
      <c r="A1" s="140" t="s">
        <v>6</v>
      </c>
      <c r="B1" s="144"/>
      <c r="C1" s="141"/>
      <c r="D1" s="141"/>
      <c r="E1" s="129"/>
      <c r="F1" s="3"/>
      <c r="G1" s="3"/>
      <c r="H1" s="3"/>
      <c r="I1" s="3"/>
      <c r="J1" s="3"/>
      <c r="K1" s="3"/>
      <c r="L1" s="3"/>
      <c r="M1" s="3"/>
      <c r="N1" s="3"/>
      <c r="O1" s="3"/>
      <c r="P1" s="3"/>
    </row>
    <row r="2" spans="1:17" x14ac:dyDescent="0.25">
      <c r="A2" s="141"/>
      <c r="B2" s="141"/>
      <c r="C2" s="141"/>
      <c r="D2" s="141"/>
      <c r="E2" s="129"/>
      <c r="F2" s="3"/>
      <c r="G2" s="3"/>
      <c r="H2" s="3"/>
      <c r="I2" s="3"/>
      <c r="J2" s="3"/>
      <c r="K2" s="3"/>
      <c r="L2" s="3"/>
      <c r="M2" s="3"/>
      <c r="N2" s="3"/>
      <c r="O2" s="3"/>
      <c r="P2" s="3"/>
    </row>
    <row r="11" spans="1:17" x14ac:dyDescent="0.25">
      <c r="C11" s="29" t="s">
        <v>25</v>
      </c>
      <c r="D11" s="29" t="s">
        <v>3</v>
      </c>
      <c r="E11" s="29" t="s">
        <v>26</v>
      </c>
      <c r="F11" s="29" t="s">
        <v>27</v>
      </c>
      <c r="G11" s="29" t="s">
        <v>28</v>
      </c>
      <c r="H11" s="34" t="s">
        <v>30</v>
      </c>
      <c r="I11" s="34" t="s">
        <v>31</v>
      </c>
      <c r="K11" s="146" t="s">
        <v>124</v>
      </c>
      <c r="L11" s="146"/>
      <c r="M11" s="146"/>
      <c r="N11" s="146"/>
      <c r="O11" s="146"/>
      <c r="P11" s="146"/>
    </row>
    <row r="12" spans="1:17" ht="25.2" customHeight="1" x14ac:dyDescent="0.25">
      <c r="C12" s="30">
        <v>45775</v>
      </c>
      <c r="D12" s="29" t="s">
        <v>0</v>
      </c>
      <c r="E12" s="29" t="s">
        <v>13</v>
      </c>
      <c r="F12" s="32">
        <v>3500</v>
      </c>
      <c r="G12" s="33"/>
      <c r="H12" s="35" cm="1">
        <f t="array" ref="H12">SUMPRODUCT(Tracking[Amount], --(Tracking[Date]&lt;=Tracking[[#This Row],[Date]]), (Tracking[Type]&lt;&gt;"Income")*(-1) +(Tracking[Type]="Income"))</f>
        <v>3500</v>
      </c>
      <c r="I12" s="41">
        <f>IF(AND(Tracking[[#This Row],[Type]]="Income", shift_late_income_status="Active", DAY(Tracking[[#This Row],[Date]])&gt;=shift_late_income_starting_day),
    DATE(YEAR(Tracking[[#This Row],[Date]]),MONTH(Tracking[[#This Row],[Date]])+1,1),
     Tracking[[#This Row],[Date]])</f>
        <v>45778</v>
      </c>
      <c r="K12" s="146"/>
      <c r="L12" s="146"/>
      <c r="M12" s="146"/>
      <c r="N12" s="146"/>
      <c r="O12" s="146"/>
      <c r="P12" s="146"/>
    </row>
    <row r="13" spans="1:17" ht="25.2" customHeight="1" x14ac:dyDescent="0.25">
      <c r="C13" s="30">
        <v>45779</v>
      </c>
      <c r="D13" s="29" t="s">
        <v>1</v>
      </c>
      <c r="E13" s="29" t="s">
        <v>16</v>
      </c>
      <c r="F13" s="32">
        <v>400</v>
      </c>
      <c r="G13" s="33"/>
      <c r="H13" s="35" cm="1">
        <f t="array" ref="H13">SUMPRODUCT(Tracking[Amount], --(Tracking[Date]&lt;=Tracking[[#This Row],[Date]]), (Tracking[Type]&lt;&gt;"Income")*(-1) +(Tracking[Type]="Income"))</f>
        <v>3100</v>
      </c>
      <c r="I13" s="41">
        <f>IF(AND(Tracking[[#This Row],[Type]]="Income", shift_late_income_status="Active", DAY(Tracking[[#This Row],[Date]])&gt;=shift_late_income_starting_day),
    DATE(YEAR(Tracking[[#This Row],[Date]]),MONTH(Tracking[[#This Row],[Date]])+1,1),
     Tracking[[#This Row],[Date]])</f>
        <v>45779</v>
      </c>
      <c r="K13" s="146"/>
      <c r="L13" s="146"/>
      <c r="M13" s="146"/>
      <c r="N13" s="146"/>
      <c r="O13" s="146"/>
      <c r="P13" s="146"/>
    </row>
    <row r="14" spans="1:17" ht="25.2" customHeight="1" x14ac:dyDescent="0.25">
      <c r="C14" s="30">
        <v>45780</v>
      </c>
      <c r="D14" s="29" t="s">
        <v>1</v>
      </c>
      <c r="E14" s="29" t="s">
        <v>116</v>
      </c>
      <c r="F14" s="32">
        <v>1000</v>
      </c>
      <c r="G14" s="33"/>
      <c r="H14" s="35" cm="1">
        <f t="array" ref="H14">SUMPRODUCT(Tracking[Amount], --(Tracking[Date]&lt;=Tracking[[#This Row],[Date]]), (Tracking[Type]&lt;&gt;"Income")*(-1) +(Tracking[Type]="Income"))</f>
        <v>2100</v>
      </c>
      <c r="I14" s="41">
        <f>IF(AND(Tracking[[#This Row],[Type]]="Income", shift_late_income_status="Active", DAY(Tracking[[#This Row],[Date]])&gt;=shift_late_income_starting_day),
    DATE(YEAR(Tracking[[#This Row],[Date]]),MONTH(Tracking[[#This Row],[Date]])+1,1),
     Tracking[[#This Row],[Date]])</f>
        <v>45780</v>
      </c>
      <c r="K14" s="138" t="s">
        <v>125</v>
      </c>
      <c r="L14" s="138"/>
      <c r="M14" s="138"/>
      <c r="N14" s="138"/>
      <c r="O14" s="138"/>
      <c r="P14" s="138"/>
    </row>
    <row r="15" spans="1:17" ht="25.2" customHeight="1" x14ac:dyDescent="0.25">
      <c r="C15" s="30">
        <v>45781</v>
      </c>
      <c r="D15" s="29" t="s">
        <v>2</v>
      </c>
      <c r="E15" s="29" t="s">
        <v>18</v>
      </c>
      <c r="F15" s="32">
        <v>100</v>
      </c>
      <c r="G15" s="33"/>
      <c r="H15" s="35" cm="1">
        <f t="array" ref="H15">SUMPRODUCT(Tracking[Amount], --(Tracking[Date]&lt;=Tracking[[#This Row],[Date]]), (Tracking[Type]&lt;&gt;"Income")*(-1) +(Tracking[Type]="Income"))</f>
        <v>2000</v>
      </c>
      <c r="I15" s="41">
        <f>IF(AND(Tracking[[#This Row],[Type]]="Income", shift_late_income_status="Active", DAY(Tracking[[#This Row],[Date]])&gt;=shift_late_income_starting_day),
    DATE(YEAR(Tracking[[#This Row],[Date]]),MONTH(Tracking[[#This Row],[Date]])+1,1),
     Tracking[[#This Row],[Date]])</f>
        <v>45781</v>
      </c>
      <c r="K15" s="146" t="s">
        <v>137</v>
      </c>
      <c r="L15" s="146"/>
      <c r="M15" s="146"/>
      <c r="N15" s="146"/>
      <c r="O15" s="146"/>
      <c r="P15" s="146"/>
      <c r="Q15" s="146"/>
    </row>
    <row r="16" spans="1:17" ht="25.2" customHeight="1" x14ac:dyDescent="0.25">
      <c r="C16" s="31">
        <v>45782</v>
      </c>
      <c r="D16" s="29" t="s">
        <v>0</v>
      </c>
      <c r="E16" s="29" t="s">
        <v>23</v>
      </c>
      <c r="F16" s="32">
        <v>200</v>
      </c>
      <c r="G16" s="33"/>
      <c r="H16" s="35" cm="1">
        <f t="array" ref="H16">SUMPRODUCT(Tracking[Amount], --(Tracking[Date]&lt;=Tracking[[#This Row],[Date]]), (Tracking[Type]&lt;&gt;"Income")*(-1) +(Tracking[Type]="Income"))</f>
        <v>2600</v>
      </c>
      <c r="I16" s="41">
        <f>IF(AND(Tracking[[#This Row],[Type]]="Income", shift_late_income_status="Active", DAY(Tracking[[#This Row],[Date]])&gt;=shift_late_income_starting_day),
    DATE(YEAR(Tracking[[#This Row],[Date]]),MONTH(Tracking[[#This Row],[Date]])+1,1),
     Tracking[[#This Row],[Date]])</f>
        <v>45782</v>
      </c>
      <c r="K16" s="146"/>
      <c r="L16" s="146"/>
      <c r="M16" s="146"/>
      <c r="N16" s="146"/>
      <c r="O16" s="146"/>
      <c r="P16" s="146"/>
      <c r="Q16" s="146"/>
    </row>
    <row r="17" spans="3:17" ht="25.2" customHeight="1" x14ac:dyDescent="0.25">
      <c r="C17" s="31">
        <v>45782</v>
      </c>
      <c r="D17" s="29" t="s">
        <v>0</v>
      </c>
      <c r="E17" s="29" t="s">
        <v>24</v>
      </c>
      <c r="F17" s="32">
        <v>400</v>
      </c>
      <c r="G17" s="33"/>
      <c r="H17" s="35" cm="1">
        <f t="array" ref="H17">SUMPRODUCT(Tracking[Amount], --(Tracking[Date]&lt;=Tracking[[#This Row],[Date]]), (Tracking[Type]&lt;&gt;"Income")*(-1) +(Tracking[Type]="Income"))</f>
        <v>2600</v>
      </c>
      <c r="I17" s="41">
        <f>IF(AND(Tracking[[#This Row],[Type]]="Income", shift_late_income_status="Active", DAY(Tracking[[#This Row],[Date]])&gt;=shift_late_income_starting_day),
    DATE(YEAR(Tracking[[#This Row],[Date]]),MONTH(Tracking[[#This Row],[Date]])+1,1),
     Tracking[[#This Row],[Date]])</f>
        <v>45782</v>
      </c>
      <c r="K17" s="146"/>
      <c r="L17" s="146"/>
      <c r="M17" s="146"/>
      <c r="N17" s="146"/>
      <c r="O17" s="146"/>
      <c r="P17" s="146"/>
      <c r="Q17" s="146"/>
    </row>
    <row r="18" spans="3:17" ht="25.2" customHeight="1" x14ac:dyDescent="0.25">
      <c r="C18" s="31">
        <v>45784</v>
      </c>
      <c r="D18" s="29" t="s">
        <v>1</v>
      </c>
      <c r="E18" s="29" t="s">
        <v>126</v>
      </c>
      <c r="F18" s="32">
        <v>150</v>
      </c>
      <c r="G18" s="33"/>
      <c r="H18" s="35" cm="1">
        <f t="array" ref="H18">SUMPRODUCT(Tracking[Amount], --(Tracking[Date]&lt;=Tracking[[#This Row],[Date]]), (Tracking[Type]&lt;&gt;"Income")*(-1) +(Tracking[Type]="Income"))</f>
        <v>2450</v>
      </c>
      <c r="I18" s="41">
        <f>IF(AND(Tracking[[#This Row],[Type]]="Income", shift_late_income_status="Active", DAY(Tracking[[#This Row],[Date]])&gt;=shift_late_income_starting_day),
    DATE(YEAR(Tracking[[#This Row],[Date]]),MONTH(Tracking[[#This Row],[Date]])+1,1),
     Tracking[[#This Row],[Date]])</f>
        <v>45784</v>
      </c>
      <c r="K18" s="146"/>
      <c r="L18" s="146"/>
      <c r="M18" s="146"/>
      <c r="N18" s="146"/>
      <c r="O18" s="146"/>
      <c r="P18" s="146"/>
      <c r="Q18" s="146"/>
    </row>
    <row r="19" spans="3:17" ht="25.2" customHeight="1" x14ac:dyDescent="0.25">
      <c r="C19" s="31">
        <v>45785</v>
      </c>
      <c r="D19" s="29" t="s">
        <v>1</v>
      </c>
      <c r="E19" s="29" t="s">
        <v>118</v>
      </c>
      <c r="F19" s="32">
        <v>200</v>
      </c>
      <c r="G19" s="33"/>
      <c r="H19" s="35" cm="1">
        <f t="array" ref="H19">SUMPRODUCT(Tracking[Amount], --(Tracking[Date]&lt;=Tracking[[#This Row],[Date]]), (Tracking[Type]&lt;&gt;"Income")*(-1) +(Tracking[Type]="Income"))</f>
        <v>2250</v>
      </c>
      <c r="I19" s="41">
        <f>IF(AND(Tracking[[#This Row],[Type]]="Income", shift_late_income_status="Active", DAY(Tracking[[#This Row],[Date]])&gt;=shift_late_income_starting_day),
    DATE(YEAR(Tracking[[#This Row],[Date]]),MONTH(Tracking[[#This Row],[Date]])+1,1),
     Tracking[[#This Row],[Date]])</f>
        <v>45785</v>
      </c>
      <c r="K19" s="146"/>
      <c r="L19" s="146"/>
      <c r="M19" s="146"/>
      <c r="N19" s="146"/>
      <c r="O19" s="146"/>
      <c r="P19" s="146"/>
      <c r="Q19" s="146"/>
    </row>
    <row r="20" spans="3:17" ht="25.2" customHeight="1" x14ac:dyDescent="0.25">
      <c r="C20" s="31">
        <v>45787</v>
      </c>
      <c r="D20" s="29" t="s">
        <v>1</v>
      </c>
      <c r="E20" s="29" t="s">
        <v>116</v>
      </c>
      <c r="F20" s="32">
        <v>100</v>
      </c>
      <c r="G20" s="33"/>
      <c r="H20" s="35" cm="1">
        <f t="array" ref="H20">SUMPRODUCT(Tracking[Amount], --(Tracking[Date]&lt;=Tracking[[#This Row],[Date]]), (Tracking[Type]&lt;&gt;"Income")*(-1) +(Tracking[Type]="Income"))</f>
        <v>2150</v>
      </c>
      <c r="I20" s="41">
        <f>IF(AND(Tracking[[#This Row],[Type]]="Income", shift_late_income_status="Active", DAY(Tracking[[#This Row],[Date]])&gt;=shift_late_income_starting_day),
    DATE(YEAR(Tracking[[#This Row],[Date]]),MONTH(Tracking[[#This Row],[Date]])+1,1),
     Tracking[[#This Row],[Date]])</f>
        <v>45787</v>
      </c>
      <c r="K20" s="146"/>
      <c r="L20" s="146"/>
      <c r="M20" s="146"/>
      <c r="N20" s="146"/>
      <c r="O20" s="146"/>
      <c r="P20" s="146"/>
      <c r="Q20" s="146"/>
    </row>
    <row r="21" spans="3:17" ht="25.2" customHeight="1" x14ac:dyDescent="0.25">
      <c r="C21" s="31">
        <v>45789</v>
      </c>
      <c r="D21" s="29" t="s">
        <v>1</v>
      </c>
      <c r="E21" s="29" t="s">
        <v>115</v>
      </c>
      <c r="F21" s="127">
        <v>200</v>
      </c>
      <c r="G21" s="128"/>
      <c r="H21" s="134" cm="1">
        <f t="array" ref="H21">SUMPRODUCT(Tracking[Amount], --(Tracking[Date]&lt;=Tracking[[#This Row],[Date]]), (Tracking[Type]&lt;&gt;"Income")*(-1) +(Tracking[Type]="Income"))</f>
        <v>1950</v>
      </c>
      <c r="I21" s="41">
        <f>IF(AND(Tracking[[#This Row],[Type]]="Income", shift_late_income_status="Active", DAY(Tracking[[#This Row],[Date]])&gt;=shift_late_income_starting_day),
    DATE(YEAR(Tracking[[#This Row],[Date]]),MONTH(Tracking[[#This Row],[Date]])+1,1),
     Tracking[[#This Row],[Date]])</f>
        <v>45789</v>
      </c>
    </row>
    <row r="22" spans="3:17" ht="25.2" customHeight="1" x14ac:dyDescent="0.25">
      <c r="C22" s="31">
        <v>45790</v>
      </c>
      <c r="D22" s="29" t="s">
        <v>1</v>
      </c>
      <c r="E22" s="29" t="s">
        <v>117</v>
      </c>
      <c r="F22" s="127">
        <v>500</v>
      </c>
      <c r="G22" s="128"/>
      <c r="H22" s="134" cm="1">
        <f t="array" ref="H22">SUMPRODUCT(Tracking[Amount], --(Tracking[Date]&lt;=Tracking[[#This Row],[Date]]), (Tracking[Type]&lt;&gt;"Income")*(-1) +(Tracking[Type]="Income"))</f>
        <v>1450</v>
      </c>
      <c r="I22" s="41">
        <f>IF(AND(Tracking[[#This Row],[Type]]="Income", shift_late_income_status="Active", DAY(Tracking[[#This Row],[Date]])&gt;=shift_late_income_starting_day),
    DATE(YEAR(Tracking[[#This Row],[Date]]),MONTH(Tracking[[#This Row],[Date]])+1,1),
     Tracking[[#This Row],[Date]])</f>
        <v>45790</v>
      </c>
    </row>
    <row r="23" spans="3:17" ht="25.2" customHeight="1" x14ac:dyDescent="0.25">
      <c r="C23" s="31">
        <v>45792</v>
      </c>
      <c r="D23" s="29" t="s">
        <v>1</v>
      </c>
      <c r="E23" s="29" t="s">
        <v>121</v>
      </c>
      <c r="F23" s="135">
        <v>600</v>
      </c>
      <c r="G23" s="136"/>
      <c r="H23" s="134" cm="1">
        <f t="array" ref="H23">SUMPRODUCT(Tracking[Amount], --(Tracking[Date]&lt;=Tracking[[#This Row],[Date]]), (Tracking[Type]&lt;&gt;"Income")*(-1) +(Tracking[Type]="Income"))</f>
        <v>850</v>
      </c>
      <c r="I23" s="41">
        <f>IF(AND(Tracking[[#This Row],[Type]]="Income", shift_late_income_status="Active", DAY(Tracking[[#This Row],[Date]])&gt;=shift_late_income_starting_day),
    DATE(YEAR(Tracking[[#This Row],[Date]]),MONTH(Tracking[[#This Row],[Date]])+1,1),
     Tracking[[#This Row],[Date]])</f>
        <v>45792</v>
      </c>
    </row>
    <row r="24" spans="3:17" ht="25.2" customHeight="1" x14ac:dyDescent="0.25">
      <c r="C24" s="31">
        <v>45793</v>
      </c>
      <c r="D24" s="29" t="s">
        <v>1</v>
      </c>
      <c r="E24" s="29" t="s">
        <v>17</v>
      </c>
      <c r="F24" s="127">
        <v>800</v>
      </c>
      <c r="G24" s="128"/>
      <c r="H24" s="134" cm="1">
        <f t="array" ref="H24">SUMPRODUCT(Tracking[Amount], --(Tracking[Date]&lt;=Tracking[[#This Row],[Date]]), (Tracking[Type]&lt;&gt;"Income")*(-1) +(Tracking[Type]="Income"))</f>
        <v>50</v>
      </c>
      <c r="I24" s="41">
        <f>IF(AND(Tracking[[#This Row],[Type]]="Income", shift_late_income_status="Active", DAY(Tracking[[#This Row],[Date]])&gt;=shift_late_income_starting_day),
    DATE(YEAR(Tracking[[#This Row],[Date]]),MONTH(Tracking[[#This Row],[Date]])+1,1),
     Tracking[[#This Row],[Date]])</f>
        <v>45793</v>
      </c>
    </row>
    <row r="25" spans="3:17" ht="25.2" customHeight="1" x14ac:dyDescent="0.25">
      <c r="C25" s="31"/>
      <c r="D25" s="29"/>
      <c r="E25" s="130"/>
      <c r="F25" s="32"/>
      <c r="G25" s="33"/>
      <c r="H25" s="35"/>
      <c r="I25" s="41"/>
    </row>
    <row r="26" spans="3:17" ht="25.2" customHeight="1" x14ac:dyDescent="0.25">
      <c r="C26" s="31"/>
      <c r="D26" s="29"/>
      <c r="F26" s="32"/>
      <c r="G26" s="33"/>
      <c r="H26" s="35"/>
      <c r="I26" s="41"/>
    </row>
    <row r="27" spans="3:17" ht="16.2" customHeight="1" x14ac:dyDescent="0.25">
      <c r="C27" s="31"/>
      <c r="D27" s="29"/>
      <c r="F27" s="32"/>
      <c r="G27" s="33"/>
      <c r="H27" s="35"/>
      <c r="I27" s="41"/>
    </row>
  </sheetData>
  <mergeCells count="4">
    <mergeCell ref="A1:D2"/>
    <mergeCell ref="K11:P13"/>
    <mergeCell ref="K15:Q20"/>
    <mergeCell ref="K14:P14"/>
  </mergeCells>
  <conditionalFormatting sqref="E12:E24">
    <cfRule type="expression" dxfId="28" priority="4">
      <formula>ISNA(MATCH(E12, INDIRECT(D12), 0))</formula>
    </cfRule>
  </conditionalFormatting>
  <conditionalFormatting sqref="F12:F24">
    <cfRule type="expression" dxfId="27" priority="3">
      <formula>D12="income"</formula>
    </cfRule>
  </conditionalFormatting>
  <conditionalFormatting sqref="I12:I24">
    <cfRule type="expression" dxfId="26" priority="2">
      <formula>AND(D12="Income",shift_late_income_status="Active", DAY(C12)&gt;=shift_late_income_starting_day)</formula>
    </cfRule>
  </conditionalFormatting>
  <dataValidations count="4">
    <dataValidation type="date" operator="greaterThan" allowBlank="1" showInputMessage="1" showErrorMessage="1" errorTitle="Invalid Date" error="Please enter a valid date" sqref="C12:C24" xr:uid="{4FFBDA65-A48B-4112-A1FD-7125A5025A43}">
      <formula1>1</formula1>
    </dataValidation>
    <dataValidation type="list" allowBlank="1" showInputMessage="1" showErrorMessage="1" errorTitle="Invalid Type" error="Please select a valid type from the dropdown list." sqref="D12:D24" xr:uid="{FA9A6BB5-F675-412E-9B9D-7098E79A83DF}">
      <formula1>"Income, Expenses, Savings"</formula1>
    </dataValidation>
    <dataValidation type="custom" allowBlank="1" showInputMessage="1" showErrorMessage="1" errorTitle="Invalid Amount" error="Please enter a valid amount." sqref="F12:F24" xr:uid="{B3B87427-5291-490B-9022-F506886B39E8}">
      <formula1>ISNUMBER(F12)</formula1>
    </dataValidation>
    <dataValidation type="list" allowBlank="1" showInputMessage="1" showErrorMessage="1" errorTitle="Invalid Category" error="Please selec a valid category" sqref="E12:E24" xr:uid="{A9FCA601-C868-4544-9283-417F535A92DD}">
      <formula1>INDIRECT(D12)</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25FCE-7771-4E94-8913-6463777A5812}">
  <dimension ref="A1:AV988"/>
  <sheetViews>
    <sheetView zoomScale="95" zoomScaleNormal="95" workbookViewId="0">
      <selection activeCell="AQ9" sqref="AQ9:AR9"/>
    </sheetView>
  </sheetViews>
  <sheetFormatPr defaultColWidth="9.1796875" defaultRowHeight="13.8" x14ac:dyDescent="0.25"/>
  <cols>
    <col min="1" max="2" width="1.81640625" style="45" customWidth="1"/>
    <col min="3" max="9" width="9.1796875" style="45" hidden="1" customWidth="1"/>
    <col min="10" max="10" width="17.54296875" style="45" hidden="1" customWidth="1"/>
    <col min="11" max="11" width="17.08984375" style="45" hidden="1" customWidth="1"/>
    <col min="12" max="14" width="9.1796875" style="45" hidden="1" customWidth="1"/>
    <col min="15" max="15" width="12.08984375" style="45" hidden="1" customWidth="1"/>
    <col min="16" max="16" width="9.1796875" style="45" hidden="1" customWidth="1"/>
    <col min="17" max="17" width="12.54296875" style="45" hidden="1" customWidth="1"/>
    <col min="18" max="18" width="9.1796875" style="45" hidden="1" customWidth="1"/>
    <col min="19" max="21" width="12.81640625" style="45" hidden="1" customWidth="1"/>
    <col min="22" max="22" width="16.6328125" style="45" hidden="1" customWidth="1"/>
    <col min="23" max="23" width="12.81640625" style="45" hidden="1" customWidth="1"/>
    <col min="24" max="24" width="11.90625" style="45" hidden="1" customWidth="1"/>
    <col min="25" max="25" width="19.26953125" style="45" customWidth="1"/>
    <col min="26" max="27" width="10" style="45" customWidth="1"/>
    <col min="28" max="28" width="11.08984375" style="74" customWidth="1"/>
    <col min="29" max="30" width="10" style="63" customWidth="1"/>
    <col min="31" max="31" width="6.453125" style="45" customWidth="1"/>
    <col min="32" max="32" width="13.453125" style="45" customWidth="1"/>
    <col min="33" max="33" width="9.1796875" style="45" customWidth="1"/>
    <col min="34" max="34" width="3.54296875" style="45" customWidth="1"/>
    <col min="35" max="35" width="18.7265625" style="45" customWidth="1"/>
    <col min="36" max="36" width="9.36328125" style="45" customWidth="1"/>
    <col min="37" max="37" width="4.453125" style="45" customWidth="1"/>
    <col min="38" max="38" width="2.453125" style="45" customWidth="1"/>
    <col min="39" max="39" width="13.453125" style="45" customWidth="1"/>
    <col min="40" max="40" width="9.1796875" style="45"/>
    <col min="41" max="41" width="3.54296875" style="45" customWidth="1"/>
    <col min="42" max="42" width="17.6328125" style="45" customWidth="1"/>
    <col min="43" max="43" width="9.36328125" style="45" customWidth="1"/>
    <col min="44" max="44" width="4.453125" style="45" customWidth="1"/>
    <col min="45" max="16384" width="9.1796875" style="45"/>
  </cols>
  <sheetData>
    <row r="1" spans="1:48" ht="13.95" customHeight="1" x14ac:dyDescent="0.25">
      <c r="A1" s="46"/>
      <c r="B1" s="46"/>
      <c r="C1" s="47" t="s">
        <v>47</v>
      </c>
      <c r="D1" s="47"/>
      <c r="E1" s="47"/>
      <c r="F1" s="47"/>
      <c r="G1" s="47"/>
      <c r="H1" s="47"/>
      <c r="I1" s="47"/>
      <c r="J1" s="47"/>
      <c r="K1" s="47"/>
      <c r="L1" s="47"/>
      <c r="M1" s="47"/>
      <c r="N1" s="47"/>
      <c r="O1" s="47"/>
      <c r="P1" s="47"/>
      <c r="Q1" s="47"/>
      <c r="R1" s="47"/>
      <c r="S1" s="47"/>
      <c r="T1" s="47"/>
      <c r="U1" s="47"/>
      <c r="V1" s="47"/>
      <c r="W1" s="47"/>
      <c r="X1" s="47"/>
      <c r="Y1" s="147" t="s">
        <v>47</v>
      </c>
      <c r="Z1" s="147"/>
      <c r="AA1" s="147"/>
      <c r="AB1" s="147"/>
      <c r="AC1" s="147"/>
      <c r="AD1" s="147"/>
      <c r="AE1" s="147"/>
      <c r="AF1" s="72"/>
      <c r="AG1" s="72"/>
      <c r="AH1" s="72"/>
      <c r="AI1" s="72"/>
      <c r="AJ1" s="72"/>
      <c r="AK1" s="72"/>
      <c r="AL1" s="72"/>
      <c r="AM1" s="72"/>
      <c r="AN1" s="72"/>
      <c r="AO1" s="72"/>
      <c r="AP1" s="72"/>
      <c r="AQ1" s="72"/>
      <c r="AR1" s="72"/>
      <c r="AS1" s="72"/>
      <c r="AT1" s="72"/>
      <c r="AU1" s="72"/>
      <c r="AV1" s="72"/>
    </row>
    <row r="2" spans="1:48" ht="24.45" customHeight="1" x14ac:dyDescent="0.25">
      <c r="A2" s="46"/>
      <c r="B2" s="46"/>
      <c r="C2" s="47"/>
      <c r="D2" s="47"/>
      <c r="E2" s="47"/>
      <c r="F2" s="47"/>
      <c r="G2" s="47"/>
      <c r="H2" s="47"/>
      <c r="I2" s="47"/>
      <c r="J2" s="47"/>
      <c r="K2" s="47"/>
      <c r="L2" s="47"/>
      <c r="M2" s="47"/>
      <c r="N2" s="47"/>
      <c r="O2" s="47"/>
      <c r="P2" s="47"/>
      <c r="Q2" s="47"/>
      <c r="R2" s="47"/>
      <c r="S2" s="47"/>
      <c r="T2" s="47"/>
      <c r="U2" s="47"/>
      <c r="V2" s="47"/>
      <c r="W2" s="47"/>
      <c r="X2" s="47"/>
      <c r="Y2" s="147"/>
      <c r="Z2" s="147"/>
      <c r="AA2" s="147"/>
      <c r="AB2" s="147"/>
      <c r="AC2" s="147"/>
      <c r="AD2" s="147"/>
      <c r="AE2" s="147"/>
      <c r="AF2" s="72"/>
      <c r="AG2" s="72"/>
      <c r="AH2" s="72"/>
      <c r="AI2" s="72"/>
      <c r="AJ2" s="72"/>
      <c r="AK2" s="72"/>
      <c r="AL2" s="72"/>
      <c r="AM2" s="72"/>
      <c r="AN2" s="72"/>
      <c r="AO2" s="72"/>
      <c r="AP2" s="72"/>
      <c r="AQ2" s="72"/>
      <c r="AR2" s="72"/>
      <c r="AS2" s="72"/>
      <c r="AT2" s="72"/>
      <c r="AU2" s="72"/>
      <c r="AV2" s="72"/>
    </row>
    <row r="3" spans="1:48" ht="9.4499999999999993" customHeight="1" x14ac:dyDescent="0.25">
      <c r="A3" s="46"/>
      <c r="B3" s="46"/>
      <c r="C3" s="46"/>
      <c r="D3" s="46"/>
      <c r="E3" s="46"/>
      <c r="F3" s="46"/>
      <c r="G3" s="46"/>
      <c r="H3" s="46"/>
      <c r="I3" s="46"/>
      <c r="J3" s="46"/>
      <c r="K3" s="46"/>
      <c r="L3" s="46"/>
      <c r="M3" s="46"/>
      <c r="N3" s="46"/>
      <c r="O3" s="46"/>
      <c r="P3" s="46"/>
      <c r="Q3" s="46"/>
      <c r="R3" s="46"/>
      <c r="S3" s="46"/>
      <c r="T3" s="46"/>
      <c r="U3" s="46"/>
      <c r="V3" s="46"/>
      <c r="W3" s="46"/>
      <c r="X3" s="46"/>
      <c r="Y3" s="46"/>
      <c r="Z3" s="46"/>
      <c r="AA3" s="46"/>
      <c r="AB3" s="73"/>
      <c r="AC3" s="93"/>
      <c r="AD3" s="93"/>
      <c r="AE3" s="46"/>
      <c r="AF3" s="46"/>
      <c r="AG3" s="46"/>
      <c r="AH3" s="46"/>
      <c r="AI3" s="46"/>
      <c r="AJ3" s="46"/>
      <c r="AK3" s="46"/>
      <c r="AL3" s="46"/>
      <c r="AM3" s="46"/>
      <c r="AN3" s="46"/>
      <c r="AO3" s="46"/>
      <c r="AP3" s="46"/>
      <c r="AQ3" s="46"/>
      <c r="AR3" s="46"/>
      <c r="AS3" s="46"/>
      <c r="AT3" s="46"/>
      <c r="AU3" s="46"/>
      <c r="AV3" s="46"/>
    </row>
    <row r="5" spans="1:48" ht="15.45" customHeight="1" x14ac:dyDescent="0.25">
      <c r="I5" s="45" t="s">
        <v>72</v>
      </c>
      <c r="AQ5" s="150" t="s">
        <v>48</v>
      </c>
      <c r="AR5" s="151"/>
    </row>
    <row r="6" spans="1:48" ht="14.55" customHeight="1" x14ac:dyDescent="0.25">
      <c r="AN6" s="148" t="s">
        <v>49</v>
      </c>
      <c r="AO6" s="148"/>
      <c r="AP6" s="148"/>
      <c r="AQ6" s="152">
        <v>2025</v>
      </c>
      <c r="AR6" s="152"/>
      <c r="AT6" s="49"/>
    </row>
    <row r="8" spans="1:48" x14ac:dyDescent="0.25">
      <c r="AQ8" s="150" t="s">
        <v>50</v>
      </c>
      <c r="AR8" s="151"/>
    </row>
    <row r="9" spans="1:48" ht="14.55" customHeight="1" x14ac:dyDescent="0.25">
      <c r="AN9" s="148" t="s">
        <v>51</v>
      </c>
      <c r="AO9" s="148"/>
      <c r="AP9" s="148"/>
      <c r="AQ9" s="153">
        <v>36647</v>
      </c>
      <c r="AR9" s="153"/>
      <c r="AS9" s="49"/>
    </row>
    <row r="11" spans="1:48" ht="13.95" customHeight="1" x14ac:dyDescent="0.25">
      <c r="C11" s="46"/>
      <c r="D11" s="46"/>
      <c r="E11" s="46"/>
      <c r="F11" s="46"/>
      <c r="G11" s="46"/>
      <c r="H11" s="46"/>
      <c r="I11" s="46"/>
      <c r="J11" s="46"/>
      <c r="K11" s="46"/>
      <c r="L11" s="46"/>
      <c r="M11" s="46"/>
      <c r="N11" s="46"/>
      <c r="O11" s="46"/>
      <c r="P11" s="46"/>
      <c r="Q11" s="46"/>
      <c r="R11" s="46"/>
      <c r="S11" s="46"/>
      <c r="T11" s="46"/>
      <c r="U11" s="46"/>
      <c r="V11" s="46"/>
      <c r="W11" s="46"/>
      <c r="X11" s="46"/>
      <c r="Y11" s="149" t="str">
        <f>"Breakdown - "&amp; IF(selected_period="Total Year", selected_year &amp; " (Total Year)", selected_period_display &amp; " " &amp; selected_year)</f>
        <v>Breakdown - May 2025</v>
      </c>
      <c r="Z11" s="149"/>
      <c r="AA11" s="149"/>
      <c r="AB11" s="149"/>
      <c r="AC11" s="149"/>
      <c r="AD11" s="149"/>
      <c r="AF11" s="149" t="str">
        <f>"Summary - "&amp; IF(selected_period="Total Year", selected_year &amp; " (Total Year)", selected_period_display &amp; " " &amp; selected_year)</f>
        <v>Summary - May 2025</v>
      </c>
      <c r="AG11" s="149"/>
      <c r="AH11" s="149"/>
      <c r="AI11" s="149"/>
      <c r="AJ11" s="149"/>
      <c r="AK11" s="149"/>
      <c r="AL11" s="149"/>
      <c r="AM11" s="149"/>
      <c r="AN11" s="149"/>
      <c r="AO11" s="149"/>
      <c r="AP11" s="149"/>
      <c r="AQ11" s="149"/>
      <c r="AR11" s="149"/>
    </row>
    <row r="12" spans="1:48" s="62" customFormat="1" ht="20.399999999999999" x14ac:dyDescent="0.25">
      <c r="C12" s="57" t="s">
        <v>62</v>
      </c>
      <c r="D12" s="57" t="s">
        <v>63</v>
      </c>
      <c r="E12" s="57" t="s">
        <v>64</v>
      </c>
      <c r="F12" s="57" t="s">
        <v>65</v>
      </c>
      <c r="G12" s="57" t="s">
        <v>71</v>
      </c>
      <c r="H12" s="57" t="s">
        <v>66</v>
      </c>
      <c r="I12" s="57" t="s">
        <v>67</v>
      </c>
      <c r="J12" s="57" t="s">
        <v>68</v>
      </c>
      <c r="K12" s="57" t="s">
        <v>69</v>
      </c>
      <c r="L12" s="57" t="s">
        <v>70</v>
      </c>
      <c r="M12" s="65" t="s">
        <v>74</v>
      </c>
      <c r="N12" s="66" t="s">
        <v>75</v>
      </c>
      <c r="O12" s="65" t="s">
        <v>76</v>
      </c>
      <c r="P12" s="64" t="s">
        <v>77</v>
      </c>
      <c r="Q12" s="64" t="s">
        <v>78</v>
      </c>
      <c r="R12" s="66" t="s">
        <v>79</v>
      </c>
      <c r="S12" s="65" t="s">
        <v>80</v>
      </c>
      <c r="T12" s="64" t="s">
        <v>81</v>
      </c>
      <c r="U12" s="64" t="s">
        <v>82</v>
      </c>
      <c r="V12" s="64" t="s">
        <v>83</v>
      </c>
      <c r="W12" s="66" t="s">
        <v>84</v>
      </c>
      <c r="X12" s="70" t="s">
        <v>85</v>
      </c>
      <c r="AB12" s="75"/>
      <c r="AC12" s="69"/>
      <c r="AD12" s="69"/>
      <c r="AE12" s="45"/>
      <c r="AF12" s="45"/>
    </row>
    <row r="13" spans="1:48" ht="25.05" customHeight="1" x14ac:dyDescent="0.25">
      <c r="C13" s="58" cm="1">
        <f t="array" ref="C13">income_header_row</f>
        <v>9</v>
      </c>
      <c r="D13" s="59">
        <f t="shared" ref="D13:D50" si="0">IF(is_header, row_id,
    IF(NOT(is_empty), D12,-1))</f>
        <v>9</v>
      </c>
      <c r="E13" s="58" cm="1">
        <f t="array" ref="E13">1*OR(row_id=income_header_row, row_id=expenses_header_row, row_id=savings_header_row)</f>
        <v>1</v>
      </c>
      <c r="F13" s="60">
        <f t="shared" ref="F13:F50" si="1">1*NOT(OR(is_header, is_total, is_empty))</f>
        <v>0</v>
      </c>
      <c r="G13" s="60" cm="1">
        <f t="array" ref="G13">1*OR(row_id=income_total_row, row_id=expenses_total_row, row_id=savings_total_row)</f>
        <v>0</v>
      </c>
      <c r="H13" s="59">
        <f t="shared" ref="H13:H50" si="2">1*OR(row_id="/1",row_id="/2", row_id=-1)</f>
        <v>0</v>
      </c>
      <c r="I13" s="58" t="str" cm="1">
        <f t="array" ref="I13">IFERROR(INDEX('Budget Planning'!$C:$C, header_row_id),"")</f>
        <v>Income</v>
      </c>
      <c r="J13" s="60" t="str" cm="1">
        <f t="array" ref="J13">IFERROR(INDEX('Budget Planning'!$C:$C, row_id),"")</f>
        <v>Income</v>
      </c>
      <c r="K13" s="61" t="s">
        <v>73</v>
      </c>
      <c r="L13" s="61" t="str" cm="1">
        <f t="array" ref="L13">IF(OR(is_header,is_empty),"",
   INDEX('Budget Planning'!$E:$EM, row_id,
        MATCH(IF(selected_period="Total Year", selected_year, DATE(selected_year, selected_period, 1)), 'Budget Planning'!$E$9:$EM$9, 0)))</f>
        <v/>
      </c>
      <c r="M13" s="67" t="str" cm="1">
        <f t="array" ref="M13">IF(is_cat,
    IF(header_row_id=income_header_row,MATCH(income_min_row, $C:$C,0),
      IF(header_row_id=expenses_header_row,MATCH(expenses_min_row, $C:$C,0),
        IF(header_row_id=savings_header_row,MATCH(savings_min_row, $C:$C,0), ""))),"")</f>
        <v/>
      </c>
      <c r="N13" s="68" t="str" cm="1">
        <f t="array" ref="N13">IF(is_cat,
    IF(header_row_id=income_header_row,MATCH(income_max_row, $C:$C,0),
      IF(header_row_id=expenses_header_row,MATCH(expenses_max_row, $C:$C,0),
        IF(header_row_id=savings_header_row,MATCH(savings_max_row, $C:$C,0), ""))),"")</f>
        <v/>
      </c>
      <c r="O13" s="67" t="str">
        <f t="shared" ref="O13:O50" si="3">IF(is_cat, ADDRESS(sort_min_row, COLUMN(tracked))&amp; ":" &amp; ADDRESS(sort_max_row, COLUMN(tracked)),"")</f>
        <v/>
      </c>
      <c r="P13" s="69" t="str">
        <f t="shared" ref="P13:P50" ca="1" si="4">IF(is_cat, RANK(tracked, INDIRECT(tracked_range), 0), "")</f>
        <v/>
      </c>
      <c r="Q13" s="69" t="str">
        <f t="shared" ref="Q13:Q50" si="5">IF(is_cat, ADDRESS(sort_min_row, COLUMN(budget))&amp; ":" &amp; ADDRESS(sort_max_row, COLUMN(budget)),"")</f>
        <v/>
      </c>
      <c r="R13" s="68" t="str">
        <f t="shared" ref="R13:R50" ca="1" si="6">IF(is_cat, RANK(budget, INDIRECT(budget_range), 0), "")</f>
        <v/>
      </c>
      <c r="S13" s="67" t="str">
        <f t="shared" ref="S13:S50" si="7">IF(is_cat, _xlfn.NUMBERVALUE(tracked_rank &amp; budget_rank), "")</f>
        <v/>
      </c>
      <c r="T13" s="69" t="str">
        <f t="shared" ref="T13:T51" si="8">IF(is_cat, ADDRESS(sort_min_row, COLUMN(com_rank))&amp; ":" &amp; ADDRESS(sort_max_row, COLUMN(com_rank)),"")</f>
        <v/>
      </c>
      <c r="U13" s="69" t="str">
        <f t="shared" ref="U13:U50" ca="1" si="9">IF(is_cat, RANK(com_rank, INDIRECT(comb_rank_range),1), "")</f>
        <v/>
      </c>
      <c r="V13" s="69" t="str">
        <f t="shared" ref="V13:V50" si="10">IF(is_cat, ADDRESS(sort_min_row, COLUMN(comb_rank_norm))&amp; ":" &amp; ADDRESS(ROW(), COLUMN(comb_rank_norm)),"")</f>
        <v/>
      </c>
      <c r="W13" s="68" t="str">
        <f t="shared" ref="W13:W51" ca="1" si="11">IF(is_cat, comb_rank_norm + COUNTIF(INDIRECT(comb_rank_norm_run_range), comb_rank_norm)-1, "")</f>
        <v/>
      </c>
      <c r="X13" s="71">
        <f t="shared" ref="X13:X50" si="12">IF(is_cat, header_row_id + comb_rank_unique, row_id)</f>
        <v>9</v>
      </c>
      <c r="Y13" s="122" t="str">
        <f t="shared" ref="Y13:Y50" si="13">IF(is_empty,  "", INDEX($J:$J, MATCH(row_id, $X:$X,0)))</f>
        <v>Income</v>
      </c>
      <c r="Z13" s="118" t="str">
        <f t="shared" ref="Z13:Z50" si="14">IF(is_empty, "", IF(is_header,"Tracked", INDEX($K:$K, MATCH(row_id, $X:$X, 0))))</f>
        <v>Tracked</v>
      </c>
      <c r="AA13" s="118" t="str">
        <f t="shared" ref="AA13:AA50" si="15">IF(is_empty, "", IF(is_header, "Budget", INDEX($L:$L, MATCH(row_id, $X:$X, 0))))</f>
        <v>Budget</v>
      </c>
      <c r="AB13" s="119" t="str">
        <f>IF(is_empty, "", IF(is_header, "%Compl.", IFERROR(out_tracked / out_budget, "-")))</f>
        <v>%Compl.</v>
      </c>
      <c r="AC13" s="120" t="str">
        <f t="shared" ref="AC13:AC50" si="16">IF(is_empty, "", IF(is_header, "Remaining", IF(out_budget - out_tracked &gt; 0, out_budget - out_tracked, 0)))</f>
        <v>Remaining</v>
      </c>
      <c r="AD13" s="120" t="str">
        <f t="shared" ref="AD13:AD50" si="17">IF(is_empty, "", IF(is_header, "Excess", IF(out_budget - out_tracked &lt;  0, out_tracked - out_budget, 0)))</f>
        <v>Excess</v>
      </c>
      <c r="AF13" s="79"/>
      <c r="AG13" s="80"/>
      <c r="AH13" s="80"/>
      <c r="AI13" s="80"/>
      <c r="AJ13" s="80"/>
      <c r="AK13" s="81"/>
      <c r="AM13" s="79"/>
      <c r="AN13" s="80"/>
      <c r="AO13" s="80"/>
      <c r="AP13" s="80"/>
      <c r="AQ13" s="80"/>
      <c r="AR13" s="81"/>
    </row>
    <row r="14" spans="1:48" ht="24" customHeight="1" x14ac:dyDescent="0.25">
      <c r="C14" s="58" cm="1">
        <f t="array" ref="C14">IF(C13=-1,-1,
    IF(C13&lt;income_max_row,C13+1,
       IF(C13=income_max_row, income_total_row,
         IF(C13=income_total_row, "/1",
           IF(C13="/1", expenses_header_row,
            IF(C13&lt;expenses_max_row, C13+1,
             IF(C13=expenses_max_row, expenses_total_row,
              IF(C13=expenses_total_row, "/2",
               IF(C13="/2", savings_header_row,
                 IF(C13&lt;savings_max_row, C13+1,
                  IF(C13=savings_max_row, savings_total_row, -1)))))))))))</f>
        <v>10</v>
      </c>
      <c r="D14" s="59">
        <f t="shared" si="0"/>
        <v>9</v>
      </c>
      <c r="E14" s="58" cm="1">
        <f t="array" ref="E14">1*OR(row_id=income_header_row, row_id=expenses_header_row, row_id=savings_header_row)</f>
        <v>0</v>
      </c>
      <c r="F14" s="60">
        <f t="shared" si="1"/>
        <v>1</v>
      </c>
      <c r="G14" s="60" cm="1">
        <f t="array" ref="G14">1*OR(row_id=income_total_row, row_id=expenses_total_row, row_id=savings_total_row)</f>
        <v>0</v>
      </c>
      <c r="H14" s="59">
        <f t="shared" si="2"/>
        <v>0</v>
      </c>
      <c r="I14" s="58" t="str" cm="1">
        <f t="array" ref="I14">IFERROR(INDEX('Budget Planning'!$C:$C, header_row_id),"")</f>
        <v>Income</v>
      </c>
      <c r="J14" s="60" t="str" cm="1">
        <f t="array" ref="J14">IFERROR(INDEX('Budget Planning'!$C:$C, row_id),"")</f>
        <v>Employment (Net)</v>
      </c>
      <c r="K14" s="61" cm="1">
        <f t="array" ref="K14">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3500</v>
      </c>
      <c r="L14" s="61" cm="1">
        <f t="array" ref="L14">IF(OR(is_header,is_empty),"",
   INDEX('Budget Planning'!$E:$EM, row_id,
        MATCH(IF(selected_period="Total Year", selected_year, DATE(selected_year, selected_period, 1)), 'Budget Planning'!$E$9:$EM$9, 0)))</f>
        <v>2000</v>
      </c>
      <c r="M14" s="67" cm="1">
        <f t="array" ref="M14">IF(is_cat,
    IF(header_row_id=income_header_row,MATCH(income_min_row, $C:$C,0),
      IF(header_row_id=expenses_header_row,MATCH(expenses_min_row, $C:$C,0),
        IF(header_row_id=savings_header_row,MATCH(savings_min_row, $C:$C,0), ""))),"")</f>
        <v>14</v>
      </c>
      <c r="N14" s="68" cm="1">
        <f t="array" ref="N14">IF(is_cat,
    IF(header_row_id=income_header_row,MATCH(income_max_row, $C:$C,0),
      IF(header_row_id=expenses_header_row,MATCH(expenses_max_row, $C:$C,0),
        IF(header_row_id=savings_header_row,MATCH(savings_max_row, $C:$C,0), ""))),"")</f>
        <v>17</v>
      </c>
      <c r="O14" s="67" t="str">
        <f t="shared" si="3"/>
        <v>$K$14:$K$17</v>
      </c>
      <c r="P14" s="69">
        <f t="shared" ca="1" si="4"/>
        <v>1</v>
      </c>
      <c r="Q14" s="69" t="str">
        <f t="shared" si="5"/>
        <v>$L$14:$L$17</v>
      </c>
      <c r="R14" s="68">
        <f t="shared" ca="1" si="6"/>
        <v>1</v>
      </c>
      <c r="S14" s="67">
        <f t="shared" ca="1" si="7"/>
        <v>11</v>
      </c>
      <c r="T14" s="69" t="str">
        <f t="shared" si="8"/>
        <v>$S$14:$S$17</v>
      </c>
      <c r="U14" s="69">
        <f t="shared" ca="1" si="9"/>
        <v>1</v>
      </c>
      <c r="V14" s="69" t="str">
        <f t="shared" si="10"/>
        <v>$U$14:$U$14</v>
      </c>
      <c r="W14" s="68">
        <f t="shared" ca="1" si="11"/>
        <v>1</v>
      </c>
      <c r="X14" s="71">
        <f t="shared" ca="1" si="12"/>
        <v>10</v>
      </c>
      <c r="Y14" s="123" t="str">
        <f t="shared" ca="1" si="13"/>
        <v>Employment (Net)</v>
      </c>
      <c r="Z14" s="78">
        <f t="shared" ca="1" si="14"/>
        <v>3500</v>
      </c>
      <c r="AA14" s="78">
        <f t="shared" ca="1" si="15"/>
        <v>2000</v>
      </c>
      <c r="AB14" s="77">
        <f t="shared" ref="AB14:AB50" ca="1" si="18">IF(is_empty, "", IF(is_header, "%Compl.", IFERROR(out_tracked / out_budget, "-")))</f>
        <v>1.75</v>
      </c>
      <c r="AC14" s="94">
        <f t="shared" ca="1" si="16"/>
        <v>0</v>
      </c>
      <c r="AD14" s="94">
        <f t="shared" ca="1" si="17"/>
        <v>1500</v>
      </c>
      <c r="AF14" s="82"/>
      <c r="AG14" s="63"/>
      <c r="AH14" s="63"/>
      <c r="AI14" s="63"/>
      <c r="AJ14" s="63"/>
      <c r="AK14" s="83"/>
      <c r="AM14" s="82"/>
      <c r="AN14" s="63"/>
      <c r="AO14" s="63"/>
      <c r="AP14" s="63"/>
      <c r="AQ14" s="63"/>
      <c r="AR14" s="83"/>
    </row>
    <row r="15" spans="1:48" x14ac:dyDescent="0.25">
      <c r="C15" s="58" cm="1">
        <f t="array" ref="C15">IF(C14=-1,-1,
    IF(C14&lt;income_max_row,C14+1,
       IF(C14=income_max_row, income_total_row,
         IF(C14=income_total_row, "/1",
           IF(C14="/1", expenses_header_row,
            IF(C14&lt;expenses_max_row, C14+1,
             IF(C14=expenses_max_row, expenses_total_row,
              IF(C14=expenses_total_row, "/2",
               IF(C14="/2", savings_header_row,
                 IF(C14&lt;savings_max_row, C14+1,
                  IF(C14=savings_max_row, savings_total_row, -1)))))))))))</f>
        <v>11</v>
      </c>
      <c r="D15" s="59">
        <f t="shared" si="0"/>
        <v>9</v>
      </c>
      <c r="E15" s="58" cm="1">
        <f t="array" ref="E15">1*OR(row_id=income_header_row, row_id=expenses_header_row, row_id=savings_header_row)</f>
        <v>0</v>
      </c>
      <c r="F15" s="60">
        <f t="shared" si="1"/>
        <v>1</v>
      </c>
      <c r="G15" s="60" cm="1">
        <f t="array" ref="G15">1*OR(row_id=income_total_row, row_id=expenses_total_row, row_id=savings_total_row)</f>
        <v>0</v>
      </c>
      <c r="H15" s="59">
        <f t="shared" si="2"/>
        <v>0</v>
      </c>
      <c r="I15" s="58" t="str" cm="1">
        <f t="array" ref="I15">IFERROR(INDEX('Budget Planning'!$C:$C, header_row_id),"")</f>
        <v>Income</v>
      </c>
      <c r="J15" s="60" t="str" cm="1">
        <f t="array" ref="J15">IFERROR(INDEX('Budget Planning'!$C:$C, row_id),"")</f>
        <v>Side Hustle( Net)</v>
      </c>
      <c r="K15" s="61" cm="1">
        <f t="array" ref="K15">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200</v>
      </c>
      <c r="L15" s="61" cm="1">
        <f t="array" ref="L15">IF(OR(is_header,is_empty),"",
   INDEX('Budget Planning'!$E:$EM, row_id,
        MATCH(IF(selected_period="Total Year", selected_year, DATE(selected_year, selected_period, 1)), 'Budget Planning'!$E$9:$EM$9, 0)))</f>
        <v>200</v>
      </c>
      <c r="M15" s="67" cm="1">
        <f t="array" ref="M15">IF(is_cat,
    IF(header_row_id=income_header_row,MATCH(income_min_row, $C:$C,0),
      IF(header_row_id=expenses_header_row,MATCH(expenses_min_row, $C:$C,0),
        IF(header_row_id=savings_header_row,MATCH(savings_min_row, $C:$C,0), ""))),"")</f>
        <v>14</v>
      </c>
      <c r="N15" s="68" cm="1">
        <f t="array" ref="N15">IF(is_cat,
    IF(header_row_id=income_header_row,MATCH(income_max_row, $C:$C,0),
      IF(header_row_id=expenses_header_row,MATCH(expenses_max_row, $C:$C,0),
        IF(header_row_id=savings_header_row,MATCH(savings_max_row, $C:$C,0), ""))),"")</f>
        <v>17</v>
      </c>
      <c r="O15" s="67" t="str">
        <f t="shared" si="3"/>
        <v>$K$14:$K$17</v>
      </c>
      <c r="P15" s="69">
        <f t="shared" ca="1" si="4"/>
        <v>3</v>
      </c>
      <c r="Q15" s="69" t="str">
        <f t="shared" si="5"/>
        <v>$L$14:$L$17</v>
      </c>
      <c r="R15" s="68">
        <f t="shared" ca="1" si="6"/>
        <v>3</v>
      </c>
      <c r="S15" s="67">
        <f t="shared" ca="1" si="7"/>
        <v>33</v>
      </c>
      <c r="T15" s="69" t="str">
        <f t="shared" si="8"/>
        <v>$S$14:$S$17</v>
      </c>
      <c r="U15" s="69">
        <f t="shared" ca="1" si="9"/>
        <v>3</v>
      </c>
      <c r="V15" s="69" t="str">
        <f t="shared" si="10"/>
        <v>$U$14:$U$15</v>
      </c>
      <c r="W15" s="68">
        <f t="shared" ca="1" si="11"/>
        <v>3</v>
      </c>
      <c r="X15" s="71">
        <f t="shared" ca="1" si="12"/>
        <v>12</v>
      </c>
      <c r="Y15" s="123" t="str">
        <f t="shared" ca="1" si="13"/>
        <v>Dividends</v>
      </c>
      <c r="Z15" s="78">
        <f t="shared" ca="1" si="14"/>
        <v>400</v>
      </c>
      <c r="AA15" s="78">
        <f t="shared" ca="1" si="15"/>
        <v>500</v>
      </c>
      <c r="AB15" s="77">
        <f t="shared" ca="1" si="18"/>
        <v>0.8</v>
      </c>
      <c r="AC15" s="94">
        <f t="shared" ca="1" si="16"/>
        <v>100</v>
      </c>
      <c r="AD15" s="94">
        <f t="shared" ca="1" si="17"/>
        <v>0</v>
      </c>
      <c r="AF15" s="82"/>
      <c r="AG15" s="63"/>
      <c r="AH15" s="63"/>
      <c r="AI15" s="63"/>
      <c r="AJ15" s="63"/>
      <c r="AK15" s="83"/>
      <c r="AM15" s="82"/>
      <c r="AN15" s="63"/>
      <c r="AO15" s="63"/>
      <c r="AP15" s="63"/>
      <c r="AQ15" s="63"/>
      <c r="AR15" s="83"/>
    </row>
    <row r="16" spans="1:48" ht="19.95" customHeight="1" x14ac:dyDescent="0.25">
      <c r="C16" s="58" cm="1">
        <f t="array" ref="C16">IF(C15=-1,-1,
    IF(C15&lt;income_max_row,C15+1,
       IF(C15=income_max_row, income_total_row,
         IF(C15=income_total_row, "/1",
           IF(C15="/1", expenses_header_row,
            IF(C15&lt;expenses_max_row, C15+1,
             IF(C15=expenses_max_row, expenses_total_row,
              IF(C15=expenses_total_row, "/2",
               IF(C15="/2", savings_header_row,
                 IF(C15&lt;savings_max_row, C15+1,
                  IF(C15=savings_max_row, savings_total_row, -1)))))))))))</f>
        <v>12</v>
      </c>
      <c r="D16" s="59">
        <f t="shared" si="0"/>
        <v>9</v>
      </c>
      <c r="E16" s="58" cm="1">
        <f t="array" ref="E16">1*OR(row_id=income_header_row, row_id=expenses_header_row, row_id=savings_header_row)</f>
        <v>0</v>
      </c>
      <c r="F16" s="60">
        <f t="shared" si="1"/>
        <v>1</v>
      </c>
      <c r="G16" s="60" cm="1">
        <f t="array" ref="G16">1*OR(row_id=income_total_row, row_id=expenses_total_row, row_id=savings_total_row)</f>
        <v>0</v>
      </c>
      <c r="H16" s="59">
        <f t="shared" si="2"/>
        <v>0</v>
      </c>
      <c r="I16" s="58" t="str" cm="1">
        <f t="array" ref="I16">IFERROR(INDEX('Budget Planning'!$C:$C, header_row_id),"")</f>
        <v>Income</v>
      </c>
      <c r="J16" s="60" t="str" cm="1">
        <f t="array" ref="J16">IFERROR(INDEX('Budget Planning'!$C:$C, row_id),"")</f>
        <v>Dividends</v>
      </c>
      <c r="K16" s="61" cm="1">
        <f t="array" ref="K16">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400</v>
      </c>
      <c r="L16" s="61" cm="1">
        <f t="array" ref="L16">IF(OR(is_header,is_empty),"",
   INDEX('Budget Planning'!$E:$EM, row_id,
        MATCH(IF(selected_period="Total Year", selected_year, DATE(selected_year, selected_period, 1)), 'Budget Planning'!$E$9:$EM$9, 0)))</f>
        <v>500</v>
      </c>
      <c r="M16" s="67" cm="1">
        <f t="array" ref="M16">IF(is_cat,
    IF(header_row_id=income_header_row,MATCH(income_min_row, $C:$C,0),
      IF(header_row_id=expenses_header_row,MATCH(expenses_min_row, $C:$C,0),
        IF(header_row_id=savings_header_row,MATCH(savings_min_row, $C:$C,0), ""))),"")</f>
        <v>14</v>
      </c>
      <c r="N16" s="68" cm="1">
        <f t="array" ref="N16">IF(is_cat,
    IF(header_row_id=income_header_row,MATCH(income_max_row, $C:$C,0),
      IF(header_row_id=expenses_header_row,MATCH(expenses_max_row, $C:$C,0),
        IF(header_row_id=savings_header_row,MATCH(savings_max_row, $C:$C,0), ""))),"")</f>
        <v>17</v>
      </c>
      <c r="O16" s="67" t="str">
        <f t="shared" si="3"/>
        <v>$K$14:$K$17</v>
      </c>
      <c r="P16" s="69">
        <f t="shared" ca="1" si="4"/>
        <v>2</v>
      </c>
      <c r="Q16" s="69" t="str">
        <f t="shared" si="5"/>
        <v>$L$14:$L$17</v>
      </c>
      <c r="R16" s="68">
        <f t="shared" ca="1" si="6"/>
        <v>2</v>
      </c>
      <c r="S16" s="67">
        <f t="shared" ca="1" si="7"/>
        <v>22</v>
      </c>
      <c r="T16" s="69" t="str">
        <f t="shared" si="8"/>
        <v>$S$14:$S$17</v>
      </c>
      <c r="U16" s="69">
        <f t="shared" ca="1" si="9"/>
        <v>2</v>
      </c>
      <c r="V16" s="69" t="str">
        <f t="shared" si="10"/>
        <v>$U$14:$U$16</v>
      </c>
      <c r="W16" s="68">
        <f t="shared" ca="1" si="11"/>
        <v>2</v>
      </c>
      <c r="X16" s="71">
        <f t="shared" ca="1" si="12"/>
        <v>11</v>
      </c>
      <c r="Y16" s="123" t="str">
        <f t="shared" ca="1" si="13"/>
        <v>Side Hustle( Net)</v>
      </c>
      <c r="Z16" s="78">
        <f t="shared" ca="1" si="14"/>
        <v>200</v>
      </c>
      <c r="AA16" s="78">
        <f t="shared" ca="1" si="15"/>
        <v>200</v>
      </c>
      <c r="AB16" s="77">
        <f t="shared" ca="1" si="18"/>
        <v>1</v>
      </c>
      <c r="AC16" s="94">
        <f t="shared" ca="1" si="16"/>
        <v>0</v>
      </c>
      <c r="AD16" s="94">
        <f t="shared" ca="1" si="17"/>
        <v>0</v>
      </c>
      <c r="AF16" s="82"/>
      <c r="AG16" s="63"/>
      <c r="AH16" s="63"/>
      <c r="AI16" s="96" t="str">
        <f ca="1">Calculations!E35</f>
        <v>Employment (Net)</v>
      </c>
      <c r="AJ16" s="61">
        <f ca="1">Calculations!F35</f>
        <v>3500</v>
      </c>
      <c r="AK16" s="83"/>
      <c r="AM16" s="82"/>
      <c r="AN16" s="63"/>
      <c r="AO16" s="63"/>
      <c r="AP16" s="63"/>
      <c r="AQ16" s="63"/>
      <c r="AR16" s="83"/>
    </row>
    <row r="17" spans="3:44" x14ac:dyDescent="0.25">
      <c r="C17" s="58" cm="1">
        <f t="array" ref="C17">IF(C16=-1,-1,
    IF(C16&lt;income_max_row,C16+1,
       IF(C16=income_max_row, income_total_row,
         IF(C16=income_total_row, "/1",
           IF(C16="/1", expenses_header_row,
            IF(C16&lt;expenses_max_row, C16+1,
             IF(C16=expenses_max_row, expenses_total_row,
              IF(C16=expenses_total_row, "/2",
               IF(C16="/2", savings_header_row,
                 IF(C16&lt;savings_max_row, C16+1,
                  IF(C16=savings_max_row, savings_total_row, -1)))))))))))</f>
        <v>13</v>
      </c>
      <c r="D17" s="59">
        <f t="shared" si="0"/>
        <v>9</v>
      </c>
      <c r="E17" s="58" cm="1">
        <f t="array" ref="E17">1*OR(row_id=income_header_row, row_id=expenses_header_row, row_id=savings_header_row)</f>
        <v>0</v>
      </c>
      <c r="F17" s="60">
        <f t="shared" si="1"/>
        <v>1</v>
      </c>
      <c r="G17" s="60" cm="1">
        <f t="array" ref="G17">1*OR(row_id=income_total_row, row_id=expenses_total_row, row_id=savings_total_row)</f>
        <v>0</v>
      </c>
      <c r="H17" s="59">
        <f t="shared" si="2"/>
        <v>0</v>
      </c>
      <c r="I17" s="58" t="str" cm="1">
        <f t="array" ref="I17">IFERROR(INDEX('Budget Planning'!$C:$C, header_row_id),"")</f>
        <v>Income</v>
      </c>
      <c r="J17" s="60" t="str" cm="1">
        <f t="array" ref="J17">IFERROR(INDEX('Budget Planning'!$C:$C, row_id),"")</f>
        <v>Other</v>
      </c>
      <c r="K17" s="61" cm="1">
        <f t="array" ref="K17">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0</v>
      </c>
      <c r="L17" s="61" cm="1">
        <f t="array" ref="L17">IF(OR(is_header,is_empty),"",
   INDEX('Budget Planning'!$E:$EM, row_id,
        MATCH(IF(selected_period="Total Year", selected_year, DATE(selected_year, selected_period, 1)), 'Budget Planning'!$E$9:$EM$9, 0)))</f>
        <v>0</v>
      </c>
      <c r="M17" s="67" cm="1">
        <f t="array" ref="M17">IF(is_cat,
    IF(header_row_id=income_header_row,MATCH(income_min_row, $C:$C,0),
      IF(header_row_id=expenses_header_row,MATCH(expenses_min_row, $C:$C,0),
        IF(header_row_id=savings_header_row,MATCH(savings_min_row, $C:$C,0), ""))),"")</f>
        <v>14</v>
      </c>
      <c r="N17" s="68" cm="1">
        <f t="array" ref="N17">IF(is_cat,
    IF(header_row_id=income_header_row,MATCH(income_max_row, $C:$C,0),
      IF(header_row_id=expenses_header_row,MATCH(expenses_max_row, $C:$C,0),
        IF(header_row_id=savings_header_row,MATCH(savings_max_row, $C:$C,0), ""))),"")</f>
        <v>17</v>
      </c>
      <c r="O17" s="67" t="str">
        <f t="shared" si="3"/>
        <v>$K$14:$K$17</v>
      </c>
      <c r="P17" s="69">
        <f t="shared" ca="1" si="4"/>
        <v>4</v>
      </c>
      <c r="Q17" s="69" t="str">
        <f t="shared" si="5"/>
        <v>$L$14:$L$17</v>
      </c>
      <c r="R17" s="68">
        <f t="shared" ca="1" si="6"/>
        <v>4</v>
      </c>
      <c r="S17" s="67">
        <f t="shared" ca="1" si="7"/>
        <v>44</v>
      </c>
      <c r="T17" s="69" t="str">
        <f t="shared" si="8"/>
        <v>$S$14:$S$17</v>
      </c>
      <c r="U17" s="69">
        <f t="shared" ca="1" si="9"/>
        <v>4</v>
      </c>
      <c r="V17" s="69" t="str">
        <f t="shared" si="10"/>
        <v>$U$14:$U$17</v>
      </c>
      <c r="W17" s="68">
        <f t="shared" ca="1" si="11"/>
        <v>4</v>
      </c>
      <c r="X17" s="71">
        <f t="shared" ca="1" si="12"/>
        <v>13</v>
      </c>
      <c r="Y17" s="123" t="str">
        <f t="shared" ca="1" si="13"/>
        <v>Other</v>
      </c>
      <c r="Z17" s="78">
        <f t="shared" ca="1" si="14"/>
        <v>0</v>
      </c>
      <c r="AA17" s="78">
        <f t="shared" ca="1" si="15"/>
        <v>0</v>
      </c>
      <c r="AB17" s="77" t="str">
        <f t="shared" ca="1" si="18"/>
        <v>-</v>
      </c>
      <c r="AC17" s="94">
        <f t="shared" ca="1" si="16"/>
        <v>0</v>
      </c>
      <c r="AD17" s="94">
        <f t="shared" ca="1" si="17"/>
        <v>0</v>
      </c>
      <c r="AF17" s="82"/>
      <c r="AG17" s="63"/>
      <c r="AH17" s="63"/>
      <c r="AI17" s="96" t="str">
        <f ca="1">Calculations!E36</f>
        <v>Dividends</v>
      </c>
      <c r="AJ17" s="61">
        <f ca="1">Calculations!F36</f>
        <v>400</v>
      </c>
      <c r="AK17" s="83"/>
      <c r="AM17" s="82"/>
      <c r="AN17" s="63"/>
      <c r="AO17" s="63"/>
      <c r="AP17" s="63"/>
      <c r="AQ17" s="63"/>
      <c r="AR17" s="83"/>
    </row>
    <row r="18" spans="3:44" x14ac:dyDescent="0.25">
      <c r="C18" s="58" cm="1">
        <f t="array" ref="C18">IF(C17=-1,-1,
    IF(C17&lt;income_max_row,C17+1,
       IF(C17=income_max_row, income_total_row,
         IF(C17=income_total_row, "/1",
           IF(C17="/1", expenses_header_row,
            IF(C17&lt;expenses_max_row, C17+1,
             IF(C17=expenses_max_row, expenses_total_row,
              IF(C17=expenses_total_row, "/2",
               IF(C17="/2", savings_header_row,
                 IF(C17&lt;savings_max_row, C17+1,
                  IF(C17=savings_max_row, savings_total_row, -1)))))))))))</f>
        <v>20</v>
      </c>
      <c r="D18" s="59">
        <f t="shared" si="0"/>
        <v>9</v>
      </c>
      <c r="E18" s="58" cm="1">
        <f t="array" ref="E18">1*OR(row_id=income_header_row, row_id=expenses_header_row, row_id=savings_header_row)</f>
        <v>0</v>
      </c>
      <c r="F18" s="60">
        <f t="shared" si="1"/>
        <v>0</v>
      </c>
      <c r="G18" s="60" cm="1">
        <f t="array" ref="G18">1*OR(row_id=income_total_row, row_id=expenses_total_row, row_id=savings_total_row)</f>
        <v>1</v>
      </c>
      <c r="H18" s="59">
        <f t="shared" si="2"/>
        <v>0</v>
      </c>
      <c r="I18" s="58" t="str" cm="1">
        <f t="array" ref="I18">IFERROR(INDEX('Budget Planning'!$C:$C, header_row_id),"")</f>
        <v>Income</v>
      </c>
      <c r="J18" s="60" t="str" cm="1">
        <f t="array" ref="J18">IFERROR(INDEX('Budget Planning'!$C:$C, row_id),"")</f>
        <v>Total</v>
      </c>
      <c r="K18" s="61" cm="1">
        <f t="array" ref="K18">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4100</v>
      </c>
      <c r="L18" s="61" cm="1">
        <f t="array" aca="1" ref="L18" ca="1">IF(OR(is_header,is_empty),"",
   INDEX('Budget Planning'!$E:$EM, row_id,
        MATCH(IF(selected_period="Total Year", selected_year, DATE(selected_year, selected_period, 1)), 'Budget Planning'!$E$9:$EM$9, 0)))</f>
        <v>2700</v>
      </c>
      <c r="M18" s="67" t="str" cm="1">
        <f t="array" ref="M18">IF(is_cat,
    IF(header_row_id=income_header_row,MATCH(income_min_row, $C:$C,0),
      IF(header_row_id=expenses_header_row,MATCH(expenses_min_row, $C:$C,0),
        IF(header_row_id=savings_header_row,MATCH(savings_min_row, $C:$C,0), ""))),"")</f>
        <v/>
      </c>
      <c r="N18" s="68" t="str" cm="1">
        <f t="array" ref="N18">IF(is_cat,
    IF(header_row_id=income_header_row,MATCH(income_max_row, $C:$C,0),
      IF(header_row_id=expenses_header_row,MATCH(expenses_max_row, $C:$C,0),
        IF(header_row_id=savings_header_row,MATCH(savings_max_row, $C:$C,0), ""))),"")</f>
        <v/>
      </c>
      <c r="O18" s="67" t="str">
        <f t="shared" si="3"/>
        <v/>
      </c>
      <c r="P18" s="69" t="str">
        <f t="shared" ca="1" si="4"/>
        <v/>
      </c>
      <c r="Q18" s="69" t="str">
        <f t="shared" si="5"/>
        <v/>
      </c>
      <c r="R18" s="68" t="str">
        <f t="shared" ca="1" si="6"/>
        <v/>
      </c>
      <c r="S18" s="67" t="str">
        <f t="shared" si="7"/>
        <v/>
      </c>
      <c r="T18" s="69" t="str">
        <f t="shared" si="8"/>
        <v/>
      </c>
      <c r="U18" s="69" t="str">
        <f t="shared" ca="1" si="9"/>
        <v/>
      </c>
      <c r="V18" s="69" t="str">
        <f t="shared" si="10"/>
        <v/>
      </c>
      <c r="W18" s="68" t="str">
        <f t="shared" ca="1" si="11"/>
        <v/>
      </c>
      <c r="X18" s="71">
        <f t="shared" si="12"/>
        <v>20</v>
      </c>
      <c r="Y18" s="123" t="str">
        <f t="shared" ca="1" si="13"/>
        <v>Total</v>
      </c>
      <c r="Z18" s="78">
        <f t="shared" ca="1" si="14"/>
        <v>4100</v>
      </c>
      <c r="AA18" s="78">
        <f t="shared" ca="1" si="15"/>
        <v>2700</v>
      </c>
      <c r="AB18" s="77">
        <f t="shared" ca="1" si="18"/>
        <v>1.5185185185185186</v>
      </c>
      <c r="AC18" s="94">
        <f t="shared" ca="1" si="16"/>
        <v>0</v>
      </c>
      <c r="AD18" s="94">
        <f t="shared" ca="1" si="17"/>
        <v>1400</v>
      </c>
      <c r="AF18" s="82"/>
      <c r="AG18" s="63"/>
      <c r="AH18" s="63"/>
      <c r="AI18" s="96" t="str">
        <f ca="1">Calculations!E37</f>
        <v>Side Hustle( Net)</v>
      </c>
      <c r="AJ18" s="61">
        <f ca="1">Calculations!F37</f>
        <v>200</v>
      </c>
      <c r="AK18" s="83"/>
      <c r="AM18" s="82"/>
      <c r="AN18" s="63"/>
      <c r="AO18" s="63"/>
      <c r="AP18" s="63"/>
      <c r="AQ18" s="63"/>
      <c r="AR18" s="83"/>
    </row>
    <row r="19" spans="3:44" x14ac:dyDescent="0.25">
      <c r="C19" s="58" t="str" cm="1">
        <f t="array" ref="C19">IF(C18=-1,-1,
    IF(C18&lt;income_max_row,C18+1,
       IF(C18=income_max_row, income_total_row,
         IF(C18=income_total_row, "/1",
           IF(C18="/1", expenses_header_row,
            IF(C18&lt;expenses_max_row, C18+1,
             IF(C18=expenses_max_row, expenses_total_row,
              IF(C18=expenses_total_row, "/2",
               IF(C18="/2", savings_header_row,
                 IF(C18&lt;savings_max_row, C18+1,
                  IF(C18=savings_max_row, savings_total_row, -1)))))))))))</f>
        <v>/1</v>
      </c>
      <c r="D19" s="59">
        <f t="shared" si="0"/>
        <v>-1</v>
      </c>
      <c r="E19" s="58" cm="1">
        <f t="array" ref="E19">1*OR(row_id=income_header_row, row_id=expenses_header_row, row_id=savings_header_row)</f>
        <v>0</v>
      </c>
      <c r="F19" s="60">
        <f t="shared" si="1"/>
        <v>0</v>
      </c>
      <c r="G19" s="60" cm="1">
        <f t="array" ref="G19">1*OR(row_id=income_total_row, row_id=expenses_total_row, row_id=savings_total_row)</f>
        <v>0</v>
      </c>
      <c r="H19" s="59">
        <f t="shared" si="2"/>
        <v>1</v>
      </c>
      <c r="I19" s="58" t="str" cm="1">
        <f t="array" ref="I19">IFERROR(INDEX('Budget Planning'!$C:$C, header_row_id),"")</f>
        <v/>
      </c>
      <c r="J19" s="60" t="str" cm="1">
        <f t="array" ref="J19">IFERROR(INDEX('Budget Planning'!$C:$C, row_id),"")</f>
        <v/>
      </c>
      <c r="K19" s="61" t="str" cm="1">
        <f t="array" ref="K19">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19" s="61" t="str" cm="1">
        <f t="array" ref="L19">IF(OR(is_header,is_empty),"",
   INDEX('Budget Planning'!$E:$EM, row_id,
        MATCH(IF(selected_period="Total Year", selected_year, DATE(selected_year, selected_period, 1)), 'Budget Planning'!$E$9:$EM$9, 0)))</f>
        <v/>
      </c>
      <c r="M19" s="67" t="str" cm="1">
        <f t="array" ref="M19">IF(is_cat,
    IF(header_row_id=income_header_row,MATCH(income_min_row, $C:$C,0),
      IF(header_row_id=expenses_header_row,MATCH(expenses_min_row, $C:$C,0),
        IF(header_row_id=savings_header_row,MATCH(savings_min_row, $C:$C,0), ""))),"")</f>
        <v/>
      </c>
      <c r="N19" s="68" t="str" cm="1">
        <f t="array" ref="N19">IF(is_cat,
    IF(header_row_id=income_header_row,MATCH(income_max_row, $C:$C,0),
      IF(header_row_id=expenses_header_row,MATCH(expenses_max_row, $C:$C,0),
        IF(header_row_id=savings_header_row,MATCH(savings_max_row, $C:$C,0), ""))),"")</f>
        <v/>
      </c>
      <c r="O19" s="67" t="str">
        <f t="shared" si="3"/>
        <v/>
      </c>
      <c r="P19" s="69" t="str">
        <f t="shared" ca="1" si="4"/>
        <v/>
      </c>
      <c r="Q19" s="69" t="str">
        <f t="shared" si="5"/>
        <v/>
      </c>
      <c r="R19" s="68" t="str">
        <f t="shared" ca="1" si="6"/>
        <v/>
      </c>
      <c r="S19" s="67" t="str">
        <f t="shared" si="7"/>
        <v/>
      </c>
      <c r="T19" s="69" t="str">
        <f t="shared" si="8"/>
        <v/>
      </c>
      <c r="U19" s="69" t="str">
        <f t="shared" ca="1" si="9"/>
        <v/>
      </c>
      <c r="V19" s="69" t="str">
        <f t="shared" si="10"/>
        <v/>
      </c>
      <c r="W19" s="68" t="str">
        <f t="shared" ca="1" si="11"/>
        <v/>
      </c>
      <c r="X19" s="71" t="str">
        <f t="shared" si="12"/>
        <v>/1</v>
      </c>
      <c r="Y19" s="123" t="str">
        <f t="shared" si="13"/>
        <v/>
      </c>
      <c r="Z19" s="78" t="str">
        <f t="shared" si="14"/>
        <v/>
      </c>
      <c r="AA19" s="78" t="str">
        <f t="shared" si="15"/>
        <v/>
      </c>
      <c r="AB19" s="77" t="str">
        <f t="shared" si="18"/>
        <v/>
      </c>
      <c r="AC19" s="94" t="str">
        <f t="shared" si="16"/>
        <v/>
      </c>
      <c r="AD19" s="94" t="str">
        <f t="shared" si="17"/>
        <v/>
      </c>
      <c r="AF19" s="82"/>
      <c r="AG19" s="63"/>
      <c r="AH19" s="63"/>
      <c r="AI19" s="96" t="str">
        <f ca="1">Calculations!E38</f>
        <v/>
      </c>
      <c r="AJ19" s="61" t="str">
        <f ca="1">Calculations!F38</f>
        <v/>
      </c>
      <c r="AK19" s="83"/>
      <c r="AM19" s="82"/>
      <c r="AN19" s="63"/>
      <c r="AO19" s="63"/>
      <c r="AP19" s="63"/>
      <c r="AQ19" s="63"/>
      <c r="AR19" s="83"/>
    </row>
    <row r="20" spans="3:44" ht="22.05" customHeight="1" x14ac:dyDescent="0.25">
      <c r="C20" s="58" cm="1">
        <f t="array" ref="C20">IF(C19=-1,-1,
    IF(C19&lt;income_max_row,C19+1,
       IF(C19=income_max_row, income_total_row,
         IF(C19=income_total_row, "/1",
           IF(C19="/1", expenses_header_row,
            IF(C19&lt;expenses_max_row, C19+1,
             IF(C19=expenses_max_row, expenses_total_row,
              IF(C19=expenses_total_row, "/2",
               IF(C19="/2", savings_header_row,
                 IF(C19&lt;savings_max_row, C19+1,
                  IF(C19=savings_max_row, savings_total_row, -1)))))))))))</f>
        <v>22</v>
      </c>
      <c r="D20" s="59">
        <f t="shared" si="0"/>
        <v>22</v>
      </c>
      <c r="E20" s="58" cm="1">
        <f t="array" ref="E20">1*OR(row_id=income_header_row, row_id=expenses_header_row, row_id=savings_header_row)</f>
        <v>1</v>
      </c>
      <c r="F20" s="60">
        <f t="shared" si="1"/>
        <v>0</v>
      </c>
      <c r="G20" s="60" cm="1">
        <f t="array" ref="G20">1*OR(row_id=income_total_row, row_id=expenses_total_row, row_id=savings_total_row)</f>
        <v>0</v>
      </c>
      <c r="H20" s="59">
        <f t="shared" si="2"/>
        <v>0</v>
      </c>
      <c r="I20" s="58" t="str" cm="1">
        <f t="array" ref="I20">IFERROR(INDEX('Budget Planning'!$C:$C, header_row_id),"")</f>
        <v>Expenses</v>
      </c>
      <c r="J20" s="60" t="str" cm="1">
        <f t="array" ref="J20">IFERROR(INDEX('Budget Planning'!$C:$C, row_id),"")</f>
        <v>Expenses</v>
      </c>
      <c r="K20" s="61" t="str" cm="1">
        <f t="array" ref="K20">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20" s="61" t="str" cm="1">
        <f t="array" ref="L20">IF(OR(is_header,is_empty),"",
   INDEX('Budget Planning'!$E:$EM, row_id,
        MATCH(IF(selected_period="Total Year", selected_year, DATE(selected_year, selected_period, 1)), 'Budget Planning'!$E$9:$EM$9, 0)))</f>
        <v/>
      </c>
      <c r="M20" s="67" t="str" cm="1">
        <f t="array" ref="M20">IF(is_cat,
    IF(header_row_id=income_header_row,MATCH(income_min_row, $C:$C,0),
      IF(header_row_id=expenses_header_row,MATCH(expenses_min_row, $C:$C,0),
        IF(header_row_id=savings_header_row,MATCH(savings_min_row, $C:$C,0), ""))),"")</f>
        <v/>
      </c>
      <c r="N20" s="68" t="str" cm="1">
        <f t="array" ref="N20">IF(is_cat,
    IF(header_row_id=income_header_row,MATCH(income_max_row, $C:$C,0),
      IF(header_row_id=expenses_header_row,MATCH(expenses_max_row, $C:$C,0),
        IF(header_row_id=savings_header_row,MATCH(savings_max_row, $C:$C,0), ""))),"")</f>
        <v/>
      </c>
      <c r="O20" s="67" t="str">
        <f t="shared" si="3"/>
        <v/>
      </c>
      <c r="P20" s="69" t="str">
        <f t="shared" ca="1" si="4"/>
        <v/>
      </c>
      <c r="Q20" s="69" t="str">
        <f t="shared" si="5"/>
        <v/>
      </c>
      <c r="R20" s="68" t="str">
        <f t="shared" ca="1" si="6"/>
        <v/>
      </c>
      <c r="S20" s="67" t="str">
        <f t="shared" si="7"/>
        <v/>
      </c>
      <c r="T20" s="69" t="str">
        <f t="shared" si="8"/>
        <v/>
      </c>
      <c r="U20" s="69" t="str">
        <f t="shared" ca="1" si="9"/>
        <v/>
      </c>
      <c r="V20" s="69" t="str">
        <f t="shared" si="10"/>
        <v/>
      </c>
      <c r="W20" s="68" t="str">
        <f t="shared" ca="1" si="11"/>
        <v/>
      </c>
      <c r="X20" s="71">
        <f t="shared" si="12"/>
        <v>22</v>
      </c>
      <c r="Y20" s="123" t="str">
        <f t="shared" ca="1" si="13"/>
        <v>Expenses</v>
      </c>
      <c r="Z20" s="78" t="str">
        <f t="shared" si="14"/>
        <v>Tracked</v>
      </c>
      <c r="AA20" s="78" t="str">
        <f t="shared" si="15"/>
        <v>Budget</v>
      </c>
      <c r="AB20" s="77" t="str">
        <f t="shared" si="18"/>
        <v>%Compl.</v>
      </c>
      <c r="AC20" s="94" t="str">
        <f t="shared" si="16"/>
        <v>Remaining</v>
      </c>
      <c r="AD20" s="94" t="str">
        <f t="shared" si="17"/>
        <v>Excess</v>
      </c>
      <c r="AF20" s="82"/>
      <c r="AG20" s="63"/>
      <c r="AH20" s="63"/>
      <c r="AI20" s="96" t="str">
        <f>Calculations!E39</f>
        <v/>
      </c>
      <c r="AJ20" s="61" t="str">
        <f>Calculations!F39</f>
        <v/>
      </c>
      <c r="AK20" s="83"/>
      <c r="AM20" s="82"/>
      <c r="AN20" s="63"/>
      <c r="AO20" s="63"/>
      <c r="AP20" s="63"/>
      <c r="AQ20" s="63"/>
      <c r="AR20" s="83"/>
    </row>
    <row r="21" spans="3:44" ht="26.4" x14ac:dyDescent="0.25">
      <c r="C21" s="58" cm="1">
        <f t="array" ref="C21">IF(C20=-1,-1,
    IF(C20&lt;income_max_row,C20+1,
       IF(C20=income_max_row, income_total_row,
         IF(C20=income_total_row, "/1",
           IF(C20="/1", expenses_header_row,
            IF(C20&lt;expenses_max_row, C20+1,
             IF(C20=expenses_max_row, expenses_total_row,
              IF(C20=expenses_total_row, "/2",
               IF(C20="/2", savings_header_row,
                 IF(C20&lt;savings_max_row, C20+1,
                  IF(C20=savings_max_row, savings_total_row, -1)))))))))))</f>
        <v>23</v>
      </c>
      <c r="D21" s="59">
        <f t="shared" si="0"/>
        <v>22</v>
      </c>
      <c r="E21" s="58" cm="1">
        <f t="array" ref="E21">1*OR(row_id=income_header_row, row_id=expenses_header_row, row_id=savings_header_row)</f>
        <v>0</v>
      </c>
      <c r="F21" s="60">
        <f t="shared" si="1"/>
        <v>1</v>
      </c>
      <c r="G21" s="60" cm="1">
        <f t="array" ref="G21">1*OR(row_id=income_total_row, row_id=expenses_total_row, row_id=savings_total_row)</f>
        <v>0</v>
      </c>
      <c r="H21" s="59">
        <f t="shared" si="2"/>
        <v>0</v>
      </c>
      <c r="I21" s="58" t="str" cm="1">
        <f t="array" ref="I21">IFERROR(INDEX('Budget Planning'!$C:$C, header_row_id),"")</f>
        <v>Expenses</v>
      </c>
      <c r="J21" s="60" t="str" cm="1">
        <f t="array" ref="J21">IFERROR(INDEX('Budget Planning'!$C:$C, row_id),"")</f>
        <v>Housing(Rent)</v>
      </c>
      <c r="K21" s="61" cm="1">
        <f t="array" ref="K21">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0</v>
      </c>
      <c r="L21" s="61" cm="1">
        <f t="array" ref="L21">IF(OR(is_header,is_empty),"",
   INDEX('Budget Planning'!$E:$EM, row_id,
        MATCH(IF(selected_period="Total Year", selected_year, DATE(selected_year, selected_period, 1)), 'Budget Planning'!$E$9:$EM$9, 0)))</f>
        <v>1200</v>
      </c>
      <c r="M21" s="67" cm="1">
        <f t="array" ref="M21">IF(is_cat,
    IF(header_row_id=income_header_row,MATCH(income_min_row, $C:$C,0),
      IF(header_row_id=expenses_header_row,MATCH(expenses_min_row, $C:$C,0),
        IF(header_row_id=savings_header_row,MATCH(savings_min_row, $C:$C,0), ""))),"")</f>
        <v>21</v>
      </c>
      <c r="N21" s="68" cm="1">
        <f t="array" ref="N21">IF(is_cat,
    IF(header_row_id=income_header_row,MATCH(income_max_row, $C:$C,0),
      IF(header_row_id=expenses_header_row,MATCH(expenses_max_row, $C:$C,0),
        IF(header_row_id=savings_header_row,MATCH(savings_max_row, $C:$C,0), ""))),"")</f>
        <v>29</v>
      </c>
      <c r="O21" s="67" t="str">
        <f t="shared" si="3"/>
        <v>$K$21:$K$29</v>
      </c>
      <c r="P21" s="69">
        <f t="shared" ca="1" si="4"/>
        <v>9</v>
      </c>
      <c r="Q21" s="69" t="str">
        <f t="shared" si="5"/>
        <v>$L$21:$L$29</v>
      </c>
      <c r="R21" s="68">
        <f t="shared" ca="1" si="6"/>
        <v>1</v>
      </c>
      <c r="S21" s="67">
        <f t="shared" ca="1" si="7"/>
        <v>91</v>
      </c>
      <c r="T21" s="69" t="str">
        <f t="shared" si="8"/>
        <v>$S$21:$S$29</v>
      </c>
      <c r="U21" s="69">
        <f t="shared" ca="1" si="9"/>
        <v>9</v>
      </c>
      <c r="V21" s="69" t="str">
        <f t="shared" si="10"/>
        <v>$U$21:$U$21</v>
      </c>
      <c r="W21" s="68">
        <f t="shared" ca="1" si="11"/>
        <v>9</v>
      </c>
      <c r="X21" s="71">
        <f t="shared" ca="1" si="12"/>
        <v>31</v>
      </c>
      <c r="Y21" s="123" t="str">
        <f t="shared" ca="1" si="13"/>
        <v>Utilities (house media fees)</v>
      </c>
      <c r="Z21" s="78">
        <f t="shared" ca="1" si="14"/>
        <v>1100</v>
      </c>
      <c r="AA21" s="78">
        <f t="shared" ca="1" si="15"/>
        <v>200</v>
      </c>
      <c r="AB21" s="77">
        <f t="shared" ca="1" si="18"/>
        <v>5.5</v>
      </c>
      <c r="AC21" s="94">
        <f t="shared" ca="1" si="16"/>
        <v>0</v>
      </c>
      <c r="AD21" s="94">
        <f t="shared" ca="1" si="17"/>
        <v>900</v>
      </c>
      <c r="AF21" s="82"/>
      <c r="AG21" s="63"/>
      <c r="AH21" s="63"/>
      <c r="AI21" s="96" t="str">
        <f ca="1">Calculations!E40</f>
        <v/>
      </c>
      <c r="AJ21" s="61" t="str">
        <f ca="1">Calculations!F40</f>
        <v/>
      </c>
      <c r="AK21" s="83"/>
      <c r="AM21" s="82"/>
      <c r="AN21" s="63"/>
      <c r="AO21" s="63"/>
      <c r="AP21" s="63"/>
      <c r="AQ21" s="63"/>
      <c r="AR21" s="83"/>
    </row>
    <row r="22" spans="3:44" ht="27.6" x14ac:dyDescent="0.25">
      <c r="C22" s="58" cm="1">
        <f t="array" ref="C22">IF(C21=-1,-1,
    IF(C21&lt;income_max_row,C21+1,
       IF(C21=income_max_row, income_total_row,
         IF(C21=income_total_row, "/1",
           IF(C21="/1", expenses_header_row,
            IF(C21&lt;expenses_max_row, C21+1,
             IF(C21=expenses_max_row, expenses_total_row,
              IF(C21=expenses_total_row, "/2",
               IF(C21="/2", savings_header_row,
                 IF(C21&lt;savings_max_row, C21+1,
                  IF(C21=savings_max_row, savings_total_row, -1)))))))))))</f>
        <v>24</v>
      </c>
      <c r="D22" s="59">
        <f t="shared" si="0"/>
        <v>22</v>
      </c>
      <c r="E22" s="58" cm="1">
        <f t="array" ref="E22">1*OR(row_id=income_header_row, row_id=expenses_header_row, row_id=savings_header_row)</f>
        <v>0</v>
      </c>
      <c r="F22" s="60">
        <f t="shared" si="1"/>
        <v>1</v>
      </c>
      <c r="G22" s="60" cm="1">
        <f t="array" ref="G22">1*OR(row_id=income_total_row, row_id=expenses_total_row, row_id=savings_total_row)</f>
        <v>0</v>
      </c>
      <c r="H22" s="59">
        <f t="shared" si="2"/>
        <v>0</v>
      </c>
      <c r="I22" s="58" t="str" cm="1">
        <f t="array" ref="I22">IFERROR(INDEX('Budget Planning'!$C:$C, header_row_id),"")</f>
        <v>Expenses</v>
      </c>
      <c r="J22" s="60" t="str" cm="1">
        <f t="array" ref="J22">IFERROR(INDEX('Budget Planning'!$C:$C, row_id),"")</f>
        <v>Utilities (house media fees)</v>
      </c>
      <c r="K22" s="61" cm="1">
        <f t="array" ref="K22">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1100</v>
      </c>
      <c r="L22" s="61" cm="1">
        <f t="array" ref="L22">IF(OR(is_header,is_empty),"",
   INDEX('Budget Planning'!$E:$EM, row_id,
        MATCH(IF(selected_period="Total Year", selected_year, DATE(selected_year, selected_period, 1)), 'Budget Planning'!$E$9:$EM$9, 0)))</f>
        <v>200</v>
      </c>
      <c r="M22" s="67" cm="1">
        <f t="array" ref="M22">IF(is_cat,
    IF(header_row_id=income_header_row,MATCH(income_min_row, $C:$C,0),
      IF(header_row_id=expenses_header_row,MATCH(expenses_min_row, $C:$C,0),
        IF(header_row_id=savings_header_row,MATCH(savings_min_row, $C:$C,0), ""))),"")</f>
        <v>21</v>
      </c>
      <c r="N22" s="68" cm="1">
        <f t="array" ref="N22">IF(is_cat,
    IF(header_row_id=income_header_row,MATCH(income_max_row, $C:$C,0),
      IF(header_row_id=expenses_header_row,MATCH(expenses_max_row, $C:$C,0),
        IF(header_row_id=savings_header_row,MATCH(savings_max_row, $C:$C,0), ""))),"")</f>
        <v>29</v>
      </c>
      <c r="O22" s="67" t="str">
        <f t="shared" si="3"/>
        <v>$K$21:$K$29</v>
      </c>
      <c r="P22" s="69">
        <f t="shared" ca="1" si="4"/>
        <v>1</v>
      </c>
      <c r="Q22" s="69" t="str">
        <f t="shared" si="5"/>
        <v>$L$21:$L$29</v>
      </c>
      <c r="R22" s="68">
        <f t="shared" ca="1" si="6"/>
        <v>3</v>
      </c>
      <c r="S22" s="67">
        <f t="shared" ca="1" si="7"/>
        <v>13</v>
      </c>
      <c r="T22" s="69" t="str">
        <f t="shared" si="8"/>
        <v>$S$21:$S$29</v>
      </c>
      <c r="U22" s="69">
        <f t="shared" ca="1" si="9"/>
        <v>1</v>
      </c>
      <c r="V22" s="69" t="str">
        <f t="shared" si="10"/>
        <v>$U$21:$U$22</v>
      </c>
      <c r="W22" s="68">
        <f t="shared" ca="1" si="11"/>
        <v>1</v>
      </c>
      <c r="X22" s="71">
        <f t="shared" ca="1" si="12"/>
        <v>23</v>
      </c>
      <c r="Y22" s="123" t="str">
        <f t="shared" ca="1" si="13"/>
        <v>Enter Expense Catergory</v>
      </c>
      <c r="Z22" s="78">
        <f t="shared" ca="1" si="14"/>
        <v>800</v>
      </c>
      <c r="AA22" s="78">
        <f t="shared" ca="1" si="15"/>
        <v>0</v>
      </c>
      <c r="AB22" s="77" t="str">
        <f t="shared" ca="1" si="18"/>
        <v>-</v>
      </c>
      <c r="AC22" s="94">
        <f t="shared" ca="1" si="16"/>
        <v>0</v>
      </c>
      <c r="AD22" s="94">
        <f t="shared" ca="1" si="17"/>
        <v>800</v>
      </c>
      <c r="AF22" s="82"/>
      <c r="AG22" s="63"/>
      <c r="AH22" s="63"/>
      <c r="AI22" s="97" t="str">
        <f>Calculations!E41</f>
        <v>Total</v>
      </c>
      <c r="AJ22" s="98">
        <f ca="1">Calculations!F41</f>
        <v>4100</v>
      </c>
      <c r="AK22" s="83"/>
      <c r="AM22" s="82"/>
      <c r="AN22" s="63"/>
      <c r="AO22" s="63"/>
      <c r="AP22" s="63"/>
      <c r="AQ22" s="63"/>
      <c r="AR22" s="83"/>
    </row>
    <row r="23" spans="3:44" x14ac:dyDescent="0.25">
      <c r="C23" s="58" cm="1">
        <f t="array" ref="C23">IF(C22=-1,-1,
    IF(C22&lt;income_max_row,C22+1,
       IF(C22=income_max_row, income_total_row,
         IF(C22=income_total_row, "/1",
           IF(C22="/1", expenses_header_row,
            IF(C22&lt;expenses_max_row, C22+1,
             IF(C22=expenses_max_row, expenses_total_row,
              IF(C22=expenses_total_row, "/2",
               IF(C22="/2", savings_header_row,
                 IF(C22&lt;savings_max_row, C22+1,
                  IF(C22=savings_max_row, savings_total_row, -1)))))))))))</f>
        <v>25</v>
      </c>
      <c r="D23" s="59">
        <f t="shared" si="0"/>
        <v>22</v>
      </c>
      <c r="E23" s="58" cm="1">
        <f t="array" ref="E23">1*OR(row_id=income_header_row, row_id=expenses_header_row, row_id=savings_header_row)</f>
        <v>0</v>
      </c>
      <c r="F23" s="60">
        <f t="shared" si="1"/>
        <v>1</v>
      </c>
      <c r="G23" s="60" cm="1">
        <f t="array" ref="G23">1*OR(row_id=income_total_row, row_id=expenses_total_row, row_id=savings_total_row)</f>
        <v>0</v>
      </c>
      <c r="H23" s="59">
        <f t="shared" si="2"/>
        <v>0</v>
      </c>
      <c r="I23" s="58" t="str" cm="1">
        <f t="array" ref="I23">IFERROR(INDEX('Budget Planning'!$C:$C, header_row_id),"")</f>
        <v>Expenses</v>
      </c>
      <c r="J23" s="60" t="str" cm="1">
        <f t="array" ref="J23">IFERROR(INDEX('Budget Planning'!$C:$C, row_id),"")</f>
        <v>Groceries</v>
      </c>
      <c r="K23" s="61" cm="1">
        <f t="array" ref="K23">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400</v>
      </c>
      <c r="L23" s="61" cm="1">
        <f t="array" ref="L23">IF(OR(is_header,is_empty),"",
   INDEX('Budget Planning'!$E:$EM, row_id,
        MATCH(IF(selected_period="Total Year", selected_year, DATE(selected_year, selected_period, 1)), 'Budget Planning'!$E$9:$EM$9, 0)))</f>
        <v>800</v>
      </c>
      <c r="M23" s="67" cm="1">
        <f t="array" ref="M23">IF(is_cat,
    IF(header_row_id=income_header_row,MATCH(income_min_row, $C:$C,0),
      IF(header_row_id=expenses_header_row,MATCH(expenses_min_row, $C:$C,0),
        IF(header_row_id=savings_header_row,MATCH(savings_min_row, $C:$C,0), ""))),"")</f>
        <v>21</v>
      </c>
      <c r="N23" s="68" cm="1">
        <f t="array" ref="N23">IF(is_cat,
    IF(header_row_id=income_header_row,MATCH(income_max_row, $C:$C,0),
      IF(header_row_id=expenses_header_row,MATCH(expenses_max_row, $C:$C,0),
        IF(header_row_id=savings_header_row,MATCH(savings_max_row, $C:$C,0), ""))),"")</f>
        <v>29</v>
      </c>
      <c r="O23" s="67" t="str">
        <f t="shared" si="3"/>
        <v>$K$21:$K$29</v>
      </c>
      <c r="P23" s="69">
        <f t="shared" ca="1" si="4"/>
        <v>5</v>
      </c>
      <c r="Q23" s="69" t="str">
        <f t="shared" si="5"/>
        <v>$L$21:$L$29</v>
      </c>
      <c r="R23" s="68">
        <f t="shared" ca="1" si="6"/>
        <v>2</v>
      </c>
      <c r="S23" s="67">
        <f t="shared" ca="1" si="7"/>
        <v>52</v>
      </c>
      <c r="T23" s="69" t="str">
        <f t="shared" si="8"/>
        <v>$S$21:$S$29</v>
      </c>
      <c r="U23" s="69">
        <f t="shared" ca="1" si="9"/>
        <v>5</v>
      </c>
      <c r="V23" s="69" t="str">
        <f t="shared" si="10"/>
        <v>$U$21:$U$23</v>
      </c>
      <c r="W23" s="68">
        <f t="shared" ca="1" si="11"/>
        <v>5</v>
      </c>
      <c r="X23" s="71">
        <f t="shared" ca="1" si="12"/>
        <v>27</v>
      </c>
      <c r="Y23" s="123" t="str">
        <f t="shared" ca="1" si="13"/>
        <v>Health &amp; Wellnes</v>
      </c>
      <c r="Z23" s="78">
        <f t="shared" ca="1" si="14"/>
        <v>600</v>
      </c>
      <c r="AA23" s="78">
        <f t="shared" ca="1" si="15"/>
        <v>0</v>
      </c>
      <c r="AB23" s="77" t="str">
        <f t="shared" ca="1" si="18"/>
        <v>-</v>
      </c>
      <c r="AC23" s="94">
        <f t="shared" ca="1" si="16"/>
        <v>0</v>
      </c>
      <c r="AD23" s="94">
        <f t="shared" ca="1" si="17"/>
        <v>600</v>
      </c>
      <c r="AF23" s="82"/>
      <c r="AG23" s="63"/>
      <c r="AH23" s="63"/>
      <c r="AI23" s="95"/>
      <c r="AJ23" s="63"/>
      <c r="AK23" s="83"/>
      <c r="AM23" s="82"/>
      <c r="AN23" s="63"/>
      <c r="AO23" s="63"/>
      <c r="AP23" s="63"/>
      <c r="AQ23" s="63"/>
      <c r="AR23" s="83"/>
    </row>
    <row r="24" spans="3:44" x14ac:dyDescent="0.25">
      <c r="C24" s="58" cm="1">
        <f t="array" ref="C24">IF(C23=-1,-1,
    IF(C23&lt;income_max_row,C23+1,
       IF(C23=income_max_row, income_total_row,
         IF(C23=income_total_row, "/1",
           IF(C23="/1", expenses_header_row,
            IF(C23&lt;expenses_max_row, C23+1,
             IF(C23=expenses_max_row, expenses_total_row,
              IF(C23=expenses_total_row, "/2",
               IF(C23="/2", savings_header_row,
                 IF(C23&lt;savings_max_row, C23+1,
                  IF(C23=savings_max_row, savings_total_row, -1)))))))))))</f>
        <v>26</v>
      </c>
      <c r="D24" s="59">
        <f t="shared" si="0"/>
        <v>22</v>
      </c>
      <c r="E24" s="58" cm="1">
        <f t="array" ref="E24">1*OR(row_id=income_header_row, row_id=expenses_header_row, row_id=savings_header_row)</f>
        <v>0</v>
      </c>
      <c r="F24" s="60">
        <f t="shared" si="1"/>
        <v>1</v>
      </c>
      <c r="G24" s="60" cm="1">
        <f t="array" ref="G24">1*OR(row_id=income_total_row, row_id=expenses_total_row, row_id=savings_total_row)</f>
        <v>0</v>
      </c>
      <c r="H24" s="59">
        <f t="shared" si="2"/>
        <v>0</v>
      </c>
      <c r="I24" s="58" t="str" cm="1">
        <f t="array" ref="I24">IFERROR(INDEX('Budget Planning'!$C:$C, header_row_id),"")</f>
        <v>Expenses</v>
      </c>
      <c r="J24" s="60" t="str" cm="1">
        <f t="array" ref="J24">IFERROR(INDEX('Budget Planning'!$C:$C, row_id),"")</f>
        <v>Transportation</v>
      </c>
      <c r="K24" s="61" cm="1">
        <f t="array" ref="K24">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200</v>
      </c>
      <c r="L24" s="61" cm="1">
        <f t="array" ref="L24">IF(OR(is_header,is_empty),"",
   INDEX('Budget Planning'!$E:$EM, row_id,
        MATCH(IF(selected_period="Total Year", selected_year, DATE(selected_year, selected_period, 1)), 'Budget Planning'!$E$9:$EM$9, 0)))</f>
        <v>100</v>
      </c>
      <c r="M24" s="67" cm="1">
        <f t="array" ref="M24">IF(is_cat,
    IF(header_row_id=income_header_row,MATCH(income_min_row, $C:$C,0),
      IF(header_row_id=expenses_header_row,MATCH(expenses_min_row, $C:$C,0),
        IF(header_row_id=savings_header_row,MATCH(savings_min_row, $C:$C,0), ""))),"")</f>
        <v>21</v>
      </c>
      <c r="N24" s="68" cm="1">
        <f t="array" ref="N24">IF(is_cat,
    IF(header_row_id=income_header_row,MATCH(income_max_row, $C:$C,0),
      IF(header_row_id=expenses_header_row,MATCH(expenses_max_row, $C:$C,0),
        IF(header_row_id=savings_header_row,MATCH(savings_max_row, $C:$C,0), ""))),"")</f>
        <v>29</v>
      </c>
      <c r="O24" s="67" t="str">
        <f t="shared" si="3"/>
        <v>$K$21:$K$29</v>
      </c>
      <c r="P24" s="69">
        <f t="shared" ca="1" si="4"/>
        <v>6</v>
      </c>
      <c r="Q24" s="69" t="str">
        <f t="shared" si="5"/>
        <v>$L$21:$L$29</v>
      </c>
      <c r="R24" s="68">
        <f t="shared" ca="1" si="6"/>
        <v>6</v>
      </c>
      <c r="S24" s="67">
        <f t="shared" ca="1" si="7"/>
        <v>66</v>
      </c>
      <c r="T24" s="69" t="str">
        <f t="shared" si="8"/>
        <v>$S$21:$S$29</v>
      </c>
      <c r="U24" s="69">
        <f t="shared" ca="1" si="9"/>
        <v>7</v>
      </c>
      <c r="V24" s="69" t="str">
        <f t="shared" si="10"/>
        <v>$U$21:$U$24</v>
      </c>
      <c r="W24" s="68">
        <f t="shared" ca="1" si="11"/>
        <v>7</v>
      </c>
      <c r="X24" s="71">
        <f t="shared" ca="1" si="12"/>
        <v>29</v>
      </c>
      <c r="Y24" s="123" t="str">
        <f t="shared" ca="1" si="13"/>
        <v>Family Tax</v>
      </c>
      <c r="Z24" s="78">
        <f t="shared" ca="1" si="14"/>
        <v>500</v>
      </c>
      <c r="AA24" s="78">
        <f t="shared" ca="1" si="15"/>
        <v>200</v>
      </c>
      <c r="AB24" s="77">
        <f t="shared" ca="1" si="18"/>
        <v>2.5</v>
      </c>
      <c r="AC24" s="94">
        <f t="shared" ca="1" si="16"/>
        <v>0</v>
      </c>
      <c r="AD24" s="94">
        <f t="shared" ca="1" si="17"/>
        <v>300</v>
      </c>
      <c r="AF24" s="84"/>
      <c r="AG24" s="85"/>
      <c r="AH24" s="85"/>
      <c r="AI24" s="85"/>
      <c r="AJ24" s="85"/>
      <c r="AK24" s="86"/>
      <c r="AM24" s="84"/>
      <c r="AN24" s="85"/>
      <c r="AO24" s="85"/>
      <c r="AP24" s="85"/>
      <c r="AQ24" s="85"/>
      <c r="AR24" s="86"/>
    </row>
    <row r="25" spans="3:44" x14ac:dyDescent="0.25">
      <c r="C25" s="58" cm="1">
        <f t="array" ref="C25">IF(C24=-1,-1,
    IF(C24&lt;income_max_row,C24+1,
       IF(C24=income_max_row, income_total_row,
         IF(C24=income_total_row, "/1",
           IF(C24="/1", expenses_header_row,
            IF(C24&lt;expenses_max_row, C24+1,
             IF(C24=expenses_max_row, expenses_total_row,
              IF(C24=expenses_total_row, "/2",
               IF(C24="/2", savings_header_row,
                 IF(C24&lt;savings_max_row, C24+1,
                  IF(C24=savings_max_row, savings_total_row, -1)))))))))))</f>
        <v>27</v>
      </c>
      <c r="D25" s="59">
        <f t="shared" si="0"/>
        <v>22</v>
      </c>
      <c r="E25" s="58" cm="1">
        <f t="array" ref="E25">1*OR(row_id=income_header_row, row_id=expenses_header_row, row_id=savings_header_row)</f>
        <v>0</v>
      </c>
      <c r="F25" s="60">
        <f t="shared" si="1"/>
        <v>1</v>
      </c>
      <c r="G25" s="60" cm="1">
        <f t="array" ref="G25">1*OR(row_id=income_total_row, row_id=expenses_total_row, row_id=savings_total_row)</f>
        <v>0</v>
      </c>
      <c r="H25" s="59">
        <f t="shared" si="2"/>
        <v>0</v>
      </c>
      <c r="I25" s="58" t="str" cm="1">
        <f t="array" ref="I25">IFERROR(INDEX('Budget Planning'!$C:$C, header_row_id),"")</f>
        <v>Expenses</v>
      </c>
      <c r="J25" s="60" t="str" cm="1">
        <f t="array" ref="J25">IFERROR(INDEX('Budget Planning'!$C:$C, row_id),"")</f>
        <v>Family Tax</v>
      </c>
      <c r="K25" s="61" cm="1">
        <f t="array" ref="K25">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500</v>
      </c>
      <c r="L25" s="61" cm="1">
        <f t="array" ref="L25">IF(OR(is_header,is_empty),"",
   INDEX('Budget Planning'!$E:$EM, row_id,
        MATCH(IF(selected_period="Total Year", selected_year, DATE(selected_year, selected_period, 1)), 'Budget Planning'!$E$9:$EM$9, 0)))</f>
        <v>200</v>
      </c>
      <c r="M25" s="67" cm="1">
        <f t="array" ref="M25">IF(is_cat,
    IF(header_row_id=income_header_row,MATCH(income_min_row, $C:$C,0),
      IF(header_row_id=expenses_header_row,MATCH(expenses_min_row, $C:$C,0),
        IF(header_row_id=savings_header_row,MATCH(savings_min_row, $C:$C,0), ""))),"")</f>
        <v>21</v>
      </c>
      <c r="N25" s="68" cm="1">
        <f t="array" ref="N25">IF(is_cat,
    IF(header_row_id=income_header_row,MATCH(income_max_row, $C:$C,0),
      IF(header_row_id=expenses_header_row,MATCH(expenses_max_row, $C:$C,0),
        IF(header_row_id=savings_header_row,MATCH(savings_max_row, $C:$C,0), ""))),"")</f>
        <v>29</v>
      </c>
      <c r="O25" s="67" t="str">
        <f t="shared" si="3"/>
        <v>$K$21:$K$29</v>
      </c>
      <c r="P25" s="69">
        <f t="shared" ca="1" si="4"/>
        <v>4</v>
      </c>
      <c r="Q25" s="69" t="str">
        <f t="shared" si="5"/>
        <v>$L$21:$L$29</v>
      </c>
      <c r="R25" s="68">
        <f t="shared" ca="1" si="6"/>
        <v>3</v>
      </c>
      <c r="S25" s="67">
        <f t="shared" ca="1" si="7"/>
        <v>43</v>
      </c>
      <c r="T25" s="69" t="str">
        <f t="shared" si="8"/>
        <v>$S$21:$S$29</v>
      </c>
      <c r="U25" s="69">
        <f t="shared" ca="1" si="9"/>
        <v>4</v>
      </c>
      <c r="V25" s="69" t="str">
        <f t="shared" si="10"/>
        <v>$U$21:$U$25</v>
      </c>
      <c r="W25" s="68">
        <f t="shared" ca="1" si="11"/>
        <v>4</v>
      </c>
      <c r="X25" s="71">
        <f t="shared" ca="1" si="12"/>
        <v>26</v>
      </c>
      <c r="Y25" s="123" t="str">
        <f t="shared" ca="1" si="13"/>
        <v>Groceries</v>
      </c>
      <c r="Z25" s="78">
        <f t="shared" ca="1" si="14"/>
        <v>400</v>
      </c>
      <c r="AA25" s="78">
        <f t="shared" ca="1" si="15"/>
        <v>800</v>
      </c>
      <c r="AB25" s="77">
        <f t="shared" ca="1" si="18"/>
        <v>0.5</v>
      </c>
      <c r="AC25" s="94">
        <f t="shared" ca="1" si="16"/>
        <v>400</v>
      </c>
      <c r="AD25" s="94">
        <f t="shared" ca="1" si="17"/>
        <v>0</v>
      </c>
    </row>
    <row r="26" spans="3:44" x14ac:dyDescent="0.25">
      <c r="C26" s="58" cm="1">
        <f t="array" ref="C26">IF(C25=-1,-1,
    IF(C25&lt;income_max_row,C25+1,
       IF(C25=income_max_row, income_total_row,
         IF(C25=income_total_row, "/1",
           IF(C25="/1", expenses_header_row,
            IF(C25&lt;expenses_max_row, C25+1,
             IF(C25=expenses_max_row, expenses_total_row,
              IF(C25=expenses_total_row, "/2",
               IF(C25="/2", savings_header_row,
                 IF(C25&lt;savings_max_row, C25+1,
                  IF(C25=savings_max_row, savings_total_row, -1)))))))))))</f>
        <v>28</v>
      </c>
      <c r="D26" s="59">
        <f t="shared" si="0"/>
        <v>22</v>
      </c>
      <c r="E26" s="58" cm="1">
        <f t="array" ref="E26">1*OR(row_id=income_header_row, row_id=expenses_header_row, row_id=savings_header_row)</f>
        <v>0</v>
      </c>
      <c r="F26" s="60">
        <f t="shared" si="1"/>
        <v>1</v>
      </c>
      <c r="G26" s="60" cm="1">
        <f t="array" ref="G26">1*OR(row_id=income_total_row, row_id=expenses_total_row, row_id=savings_total_row)</f>
        <v>0</v>
      </c>
      <c r="H26" s="59">
        <f t="shared" si="2"/>
        <v>0</v>
      </c>
      <c r="I26" s="58" t="str" cm="1">
        <f t="array" ref="I26">IFERROR(INDEX('Budget Planning'!$C:$C, header_row_id),"")</f>
        <v>Expenses</v>
      </c>
      <c r="J26" s="60" t="str" cm="1">
        <f t="array" ref="J26">IFERROR(INDEX('Budget Planning'!$C:$C, row_id),"")</f>
        <v>Fun &amp; Vacation</v>
      </c>
      <c r="K26" s="61" cm="1">
        <f t="array" ref="K26">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200</v>
      </c>
      <c r="L26" s="61" cm="1">
        <f t="array" ref="L26">IF(OR(is_header,is_empty),"",
   INDEX('Budget Planning'!$E:$EM, row_id,
        MATCH(IF(selected_period="Total Year", selected_year, DATE(selected_year, selected_period, 1)), 'Budget Planning'!$E$9:$EM$9, 0)))</f>
        <v>200</v>
      </c>
      <c r="M26" s="67" cm="1">
        <f t="array" ref="M26">IF(is_cat,
    IF(header_row_id=income_header_row,MATCH(income_min_row, $C:$C,0),
      IF(header_row_id=expenses_header_row,MATCH(expenses_min_row, $C:$C,0),
        IF(header_row_id=savings_header_row,MATCH(savings_min_row, $C:$C,0), ""))),"")</f>
        <v>21</v>
      </c>
      <c r="N26" s="68" cm="1">
        <f t="array" ref="N26">IF(is_cat,
    IF(header_row_id=income_header_row,MATCH(income_max_row, $C:$C,0),
      IF(header_row_id=expenses_header_row,MATCH(expenses_max_row, $C:$C,0),
        IF(header_row_id=savings_header_row,MATCH(savings_max_row, $C:$C,0), ""))),"")</f>
        <v>29</v>
      </c>
      <c r="O26" s="67" t="str">
        <f t="shared" si="3"/>
        <v>$K$21:$K$29</v>
      </c>
      <c r="P26" s="69">
        <f t="shared" ca="1" si="4"/>
        <v>6</v>
      </c>
      <c r="Q26" s="69" t="str">
        <f t="shared" si="5"/>
        <v>$L$21:$L$29</v>
      </c>
      <c r="R26" s="68">
        <f t="shared" ca="1" si="6"/>
        <v>3</v>
      </c>
      <c r="S26" s="67">
        <f t="shared" ca="1" si="7"/>
        <v>63</v>
      </c>
      <c r="T26" s="69" t="str">
        <f t="shared" si="8"/>
        <v>$S$21:$S$29</v>
      </c>
      <c r="U26" s="69">
        <f t="shared" ca="1" si="9"/>
        <v>6</v>
      </c>
      <c r="V26" s="69" t="str">
        <f t="shared" si="10"/>
        <v>$U$21:$U$26</v>
      </c>
      <c r="W26" s="68">
        <f t="shared" ca="1" si="11"/>
        <v>6</v>
      </c>
      <c r="X26" s="71">
        <f t="shared" ca="1" si="12"/>
        <v>28</v>
      </c>
      <c r="Y26" s="123" t="str">
        <f t="shared" ca="1" si="13"/>
        <v>Fun &amp; Vacation</v>
      </c>
      <c r="Z26" s="78">
        <f t="shared" ca="1" si="14"/>
        <v>200</v>
      </c>
      <c r="AA26" s="78">
        <f t="shared" ca="1" si="15"/>
        <v>200</v>
      </c>
      <c r="AB26" s="77">
        <f t="shared" ca="1" si="18"/>
        <v>1</v>
      </c>
      <c r="AC26" s="94">
        <f t="shared" ca="1" si="16"/>
        <v>0</v>
      </c>
      <c r="AD26" s="94">
        <f t="shared" ca="1" si="17"/>
        <v>0</v>
      </c>
      <c r="AF26" s="79"/>
      <c r="AG26" s="80"/>
      <c r="AH26" s="80"/>
      <c r="AI26" s="80"/>
      <c r="AJ26" s="80"/>
      <c r="AK26" s="81"/>
      <c r="AM26" s="79"/>
      <c r="AN26" s="80"/>
      <c r="AO26" s="80"/>
      <c r="AP26" s="80"/>
      <c r="AQ26" s="80"/>
      <c r="AR26" s="81"/>
    </row>
    <row r="27" spans="3:44" ht="25.05" customHeight="1" x14ac:dyDescent="0.25">
      <c r="C27" s="58" cm="1">
        <f t="array" ref="C27">IF(C26=-1,-1,
    IF(C26&lt;income_max_row,C26+1,
       IF(C26=income_max_row, income_total_row,
         IF(C26=income_total_row, "/1",
           IF(C26="/1", expenses_header_row,
            IF(C26&lt;expenses_max_row, C26+1,
             IF(C26=expenses_max_row, expenses_total_row,
              IF(C26=expenses_total_row, "/2",
               IF(C26="/2", savings_header_row,
                 IF(C26&lt;savings_max_row, C26+1,
                  IF(C26=savings_max_row, savings_total_row, -1)))))))))))</f>
        <v>29</v>
      </c>
      <c r="D27" s="59">
        <f t="shared" si="0"/>
        <v>22</v>
      </c>
      <c r="E27" s="58" cm="1">
        <f t="array" ref="E27">1*OR(row_id=income_header_row, row_id=expenses_header_row, row_id=savings_header_row)</f>
        <v>0</v>
      </c>
      <c r="F27" s="60">
        <f t="shared" si="1"/>
        <v>1</v>
      </c>
      <c r="G27" s="60" cm="1">
        <f t="array" ref="G27">1*OR(row_id=income_total_row, row_id=expenses_total_row, row_id=savings_total_row)</f>
        <v>0</v>
      </c>
      <c r="H27" s="59">
        <f t="shared" si="2"/>
        <v>0</v>
      </c>
      <c r="I27" s="58" t="str" cm="1">
        <f t="array" ref="I27">IFERROR(INDEX('Budget Planning'!$C:$C, header_row_id),"")</f>
        <v>Expenses</v>
      </c>
      <c r="J27" s="60" t="str" cm="1">
        <f t="array" ref="J27">IFERROR(INDEX('Budget Planning'!$C:$C, row_id),"")</f>
        <v>Edu &amp; Work tools</v>
      </c>
      <c r="K27" s="61" cm="1">
        <f t="array" ref="K27">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150</v>
      </c>
      <c r="L27" s="61" cm="1">
        <f t="array" ref="L27">IF(OR(is_header,is_empty),"",
   INDEX('Budget Planning'!$E:$EM, row_id,
        MATCH(IF(selected_period="Total Year", selected_year, DATE(selected_year, selected_period, 1)), 'Budget Planning'!$E$9:$EM$9, 0)))</f>
        <v>0</v>
      </c>
      <c r="M27" s="67" cm="1">
        <f t="array" ref="M27">IF(is_cat,
    IF(header_row_id=income_header_row,MATCH(income_min_row, $C:$C,0),
      IF(header_row_id=expenses_header_row,MATCH(expenses_min_row, $C:$C,0),
        IF(header_row_id=savings_header_row,MATCH(savings_min_row, $C:$C,0), ""))),"")</f>
        <v>21</v>
      </c>
      <c r="N27" s="68" cm="1">
        <f t="array" ref="N27">IF(is_cat,
    IF(header_row_id=income_header_row,MATCH(income_max_row, $C:$C,0),
      IF(header_row_id=expenses_header_row,MATCH(expenses_max_row, $C:$C,0),
        IF(header_row_id=savings_header_row,MATCH(savings_max_row, $C:$C,0), ""))),"")</f>
        <v>29</v>
      </c>
      <c r="O27" s="67" t="str">
        <f t="shared" si="3"/>
        <v>$K$21:$K$29</v>
      </c>
      <c r="P27" s="69">
        <f t="shared" ca="1" si="4"/>
        <v>8</v>
      </c>
      <c r="Q27" s="69" t="str">
        <f t="shared" si="5"/>
        <v>$L$21:$L$29</v>
      </c>
      <c r="R27" s="68">
        <f t="shared" ca="1" si="6"/>
        <v>7</v>
      </c>
      <c r="S27" s="67">
        <f t="shared" ca="1" si="7"/>
        <v>87</v>
      </c>
      <c r="T27" s="69" t="str">
        <f t="shared" si="8"/>
        <v>$S$21:$S$29</v>
      </c>
      <c r="U27" s="69">
        <f t="shared" ca="1" si="9"/>
        <v>8</v>
      </c>
      <c r="V27" s="69" t="str">
        <f t="shared" si="10"/>
        <v>$U$21:$U$27</v>
      </c>
      <c r="W27" s="68">
        <f t="shared" ca="1" si="11"/>
        <v>8</v>
      </c>
      <c r="X27" s="71">
        <f t="shared" ca="1" si="12"/>
        <v>30</v>
      </c>
      <c r="Y27" s="123" t="str">
        <f t="shared" ca="1" si="13"/>
        <v>Transportation</v>
      </c>
      <c r="Z27" s="78">
        <f t="shared" ca="1" si="14"/>
        <v>200</v>
      </c>
      <c r="AA27" s="78">
        <f t="shared" ca="1" si="15"/>
        <v>100</v>
      </c>
      <c r="AB27" s="77">
        <f t="shared" ca="1" si="18"/>
        <v>2</v>
      </c>
      <c r="AC27" s="94">
        <f t="shared" ca="1" si="16"/>
        <v>0</v>
      </c>
      <c r="AD27" s="94">
        <f t="shared" ca="1" si="17"/>
        <v>100</v>
      </c>
      <c r="AF27" s="82"/>
      <c r="AG27" s="63"/>
      <c r="AH27" s="63"/>
      <c r="AI27" s="63"/>
      <c r="AJ27" s="63"/>
      <c r="AK27" s="83"/>
      <c r="AM27" s="82"/>
      <c r="AN27" s="63"/>
      <c r="AO27" s="63"/>
      <c r="AP27" s="63"/>
      <c r="AQ27" s="63"/>
      <c r="AR27" s="83"/>
    </row>
    <row r="28" spans="3:44" x14ac:dyDescent="0.25">
      <c r="C28" s="58" cm="1">
        <f t="array" ref="C28">IF(C27=-1,-1,
    IF(C27&lt;income_max_row,C27+1,
       IF(C27=income_max_row, income_total_row,
         IF(C27=income_total_row, "/1",
           IF(C27="/1", expenses_header_row,
            IF(C27&lt;expenses_max_row, C27+1,
             IF(C27=expenses_max_row, expenses_total_row,
              IF(C27=expenses_total_row, "/2",
               IF(C27="/2", savings_header_row,
                 IF(C27&lt;savings_max_row, C27+1,
                  IF(C27=savings_max_row, savings_total_row, -1)))))))))))</f>
        <v>30</v>
      </c>
      <c r="D28" s="59">
        <f t="shared" si="0"/>
        <v>22</v>
      </c>
      <c r="E28" s="58" cm="1">
        <f t="array" ref="E28">1*OR(row_id=income_header_row, row_id=expenses_header_row, row_id=savings_header_row)</f>
        <v>0</v>
      </c>
      <c r="F28" s="60">
        <f t="shared" si="1"/>
        <v>1</v>
      </c>
      <c r="G28" s="60" cm="1">
        <f t="array" ref="G28">1*OR(row_id=income_total_row, row_id=expenses_total_row, row_id=savings_total_row)</f>
        <v>0</v>
      </c>
      <c r="H28" s="59">
        <f t="shared" si="2"/>
        <v>0</v>
      </c>
      <c r="I28" s="58" t="str" cm="1">
        <f t="array" ref="I28">IFERROR(INDEX('Budget Planning'!$C:$C, header_row_id),"")</f>
        <v>Expenses</v>
      </c>
      <c r="J28" s="60" t="str" cm="1">
        <f t="array" ref="J28">IFERROR(INDEX('Budget Planning'!$C:$C, row_id),"")</f>
        <v>Health &amp; Wellnes</v>
      </c>
      <c r="K28" s="61" cm="1">
        <f t="array" ref="K28">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600</v>
      </c>
      <c r="L28" s="61" cm="1">
        <f t="array" ref="L28">IF(OR(is_header,is_empty),"",
   INDEX('Budget Planning'!$E:$EM, row_id,
        MATCH(IF(selected_period="Total Year", selected_year, DATE(selected_year, selected_period, 1)), 'Budget Planning'!$E$9:$EM$9, 0)))</f>
        <v>0</v>
      </c>
      <c r="M28" s="67" cm="1">
        <f t="array" ref="M28">IF(is_cat,
    IF(header_row_id=income_header_row,MATCH(income_min_row, $C:$C,0),
      IF(header_row_id=expenses_header_row,MATCH(expenses_min_row, $C:$C,0),
        IF(header_row_id=savings_header_row,MATCH(savings_min_row, $C:$C,0), ""))),"")</f>
        <v>21</v>
      </c>
      <c r="N28" s="68" cm="1">
        <f t="array" ref="N28">IF(is_cat,
    IF(header_row_id=income_header_row,MATCH(income_max_row, $C:$C,0),
      IF(header_row_id=expenses_header_row,MATCH(expenses_max_row, $C:$C,0),
        IF(header_row_id=savings_header_row,MATCH(savings_max_row, $C:$C,0), ""))),"")</f>
        <v>29</v>
      </c>
      <c r="O28" s="67" t="str">
        <f t="shared" si="3"/>
        <v>$K$21:$K$29</v>
      </c>
      <c r="P28" s="69">
        <f t="shared" ca="1" si="4"/>
        <v>3</v>
      </c>
      <c r="Q28" s="69" t="str">
        <f t="shared" si="5"/>
        <v>$L$21:$L$29</v>
      </c>
      <c r="R28" s="68">
        <f t="shared" ca="1" si="6"/>
        <v>7</v>
      </c>
      <c r="S28" s="67">
        <f t="shared" ca="1" si="7"/>
        <v>37</v>
      </c>
      <c r="T28" s="69" t="str">
        <f t="shared" si="8"/>
        <v>$S$21:$S$29</v>
      </c>
      <c r="U28" s="69">
        <f t="shared" ca="1" si="9"/>
        <v>3</v>
      </c>
      <c r="V28" s="69" t="str">
        <f t="shared" si="10"/>
        <v>$U$21:$U$28</v>
      </c>
      <c r="W28" s="68">
        <f t="shared" ca="1" si="11"/>
        <v>3</v>
      </c>
      <c r="X28" s="71">
        <f t="shared" ca="1" si="12"/>
        <v>25</v>
      </c>
      <c r="Y28" s="123" t="str">
        <f t="shared" ca="1" si="13"/>
        <v>Edu &amp; Work tools</v>
      </c>
      <c r="Z28" s="78">
        <f t="shared" ca="1" si="14"/>
        <v>150</v>
      </c>
      <c r="AA28" s="78">
        <f t="shared" ca="1" si="15"/>
        <v>0</v>
      </c>
      <c r="AB28" s="77" t="str">
        <f t="shared" ca="1" si="18"/>
        <v>-</v>
      </c>
      <c r="AC28" s="94">
        <f t="shared" ca="1" si="16"/>
        <v>0</v>
      </c>
      <c r="AD28" s="94">
        <f t="shared" ca="1" si="17"/>
        <v>150</v>
      </c>
      <c r="AF28" s="82"/>
      <c r="AG28" s="63"/>
      <c r="AH28" s="63"/>
      <c r="AI28" s="63"/>
      <c r="AJ28" s="63"/>
      <c r="AK28" s="83"/>
      <c r="AM28" s="82"/>
      <c r="AN28" s="63"/>
      <c r="AO28" s="63"/>
      <c r="AP28" s="63"/>
      <c r="AQ28" s="63"/>
      <c r="AR28" s="83"/>
    </row>
    <row r="29" spans="3:44" ht="31.8" customHeight="1" x14ac:dyDescent="0.25">
      <c r="C29" s="58" cm="1">
        <f t="array" ref="C29">IF(C28=-1,-1,
    IF(C28&lt;income_max_row,C28+1,
       IF(C28=income_max_row, income_total_row,
         IF(C28=income_total_row, "/1",
           IF(C28="/1", expenses_header_row,
            IF(C28&lt;expenses_max_row, C28+1,
             IF(C28=expenses_max_row, expenses_total_row,
              IF(C28=expenses_total_row, "/2",
               IF(C28="/2", savings_header_row,
                 IF(C28&lt;savings_max_row, C28+1,
                  IF(C28=savings_max_row, savings_total_row, -1)))))))))))</f>
        <v>31</v>
      </c>
      <c r="D29" s="59">
        <f t="shared" si="0"/>
        <v>22</v>
      </c>
      <c r="E29" s="58" cm="1">
        <f t="array" ref="E29">1*OR(row_id=income_header_row, row_id=expenses_header_row, row_id=savings_header_row)</f>
        <v>0</v>
      </c>
      <c r="F29" s="60">
        <f t="shared" si="1"/>
        <v>1</v>
      </c>
      <c r="G29" s="60" cm="1">
        <f t="array" ref="G29">1*OR(row_id=income_total_row, row_id=expenses_total_row, row_id=savings_total_row)</f>
        <v>0</v>
      </c>
      <c r="H29" s="59">
        <f t="shared" si="2"/>
        <v>0</v>
      </c>
      <c r="I29" s="58" t="str" cm="1">
        <f t="array" ref="I29">IFERROR(INDEX('Budget Planning'!$C:$C, header_row_id),"")</f>
        <v>Expenses</v>
      </c>
      <c r="J29" s="60" t="str" cm="1">
        <f t="array" ref="J29">IFERROR(INDEX('Budget Planning'!$C:$C, row_id),"")</f>
        <v>Enter Expense Catergory</v>
      </c>
      <c r="K29" s="61" cm="1">
        <f t="array" ref="K29">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800</v>
      </c>
      <c r="L29" s="61" cm="1">
        <f t="array" ref="L29">IF(OR(is_header,is_empty),"",
   INDEX('Budget Planning'!$E:$EM, row_id,
        MATCH(IF(selected_period="Total Year", selected_year, DATE(selected_year, selected_period, 1)), 'Budget Planning'!$E$9:$EM$9, 0)))</f>
        <v>0</v>
      </c>
      <c r="M29" s="67" cm="1">
        <f t="array" ref="M29">IF(is_cat,
    IF(header_row_id=income_header_row,MATCH(income_min_row, $C:$C,0),
      IF(header_row_id=expenses_header_row,MATCH(expenses_min_row, $C:$C,0),
        IF(header_row_id=savings_header_row,MATCH(savings_min_row, $C:$C,0), ""))),"")</f>
        <v>21</v>
      </c>
      <c r="N29" s="68" cm="1">
        <f t="array" ref="N29">IF(is_cat,
    IF(header_row_id=income_header_row,MATCH(income_max_row, $C:$C,0),
      IF(header_row_id=expenses_header_row,MATCH(expenses_max_row, $C:$C,0),
        IF(header_row_id=savings_header_row,MATCH(savings_max_row, $C:$C,0), ""))),"")</f>
        <v>29</v>
      </c>
      <c r="O29" s="67" t="str">
        <f t="shared" si="3"/>
        <v>$K$21:$K$29</v>
      </c>
      <c r="P29" s="69">
        <f t="shared" ca="1" si="4"/>
        <v>2</v>
      </c>
      <c r="Q29" s="69" t="str">
        <f t="shared" si="5"/>
        <v>$L$21:$L$29</v>
      </c>
      <c r="R29" s="68">
        <f t="shared" ca="1" si="6"/>
        <v>7</v>
      </c>
      <c r="S29" s="67">
        <f t="shared" ca="1" si="7"/>
        <v>27</v>
      </c>
      <c r="T29" s="69" t="str">
        <f t="shared" si="8"/>
        <v>$S$21:$S$29</v>
      </c>
      <c r="U29" s="69">
        <f t="shared" ca="1" si="9"/>
        <v>2</v>
      </c>
      <c r="V29" s="69" t="str">
        <f t="shared" si="10"/>
        <v>$U$21:$U$29</v>
      </c>
      <c r="W29" s="68">
        <f t="shared" ca="1" si="11"/>
        <v>2</v>
      </c>
      <c r="X29" s="71">
        <f t="shared" ca="1" si="12"/>
        <v>24</v>
      </c>
      <c r="Y29" s="123" t="str">
        <f t="shared" ca="1" si="13"/>
        <v>Housing(Rent)</v>
      </c>
      <c r="Z29" s="78">
        <f t="shared" ca="1" si="14"/>
        <v>0</v>
      </c>
      <c r="AA29" s="78">
        <f t="shared" ca="1" si="15"/>
        <v>1200</v>
      </c>
      <c r="AB29" s="77">
        <f t="shared" ca="1" si="18"/>
        <v>0</v>
      </c>
      <c r="AC29" s="94">
        <f t="shared" ca="1" si="16"/>
        <v>1200</v>
      </c>
      <c r="AD29" s="94">
        <f t="shared" ca="1" si="17"/>
        <v>0</v>
      </c>
      <c r="AF29" s="82"/>
      <c r="AG29" s="63"/>
      <c r="AH29" s="63"/>
      <c r="AI29" s="96" t="str">
        <f ca="1">Calculations!I35</f>
        <v>Utilities (house media fees)</v>
      </c>
      <c r="AJ29" s="61">
        <f ca="1">Calculations!J35</f>
        <v>800</v>
      </c>
      <c r="AK29" s="83"/>
      <c r="AM29" s="82"/>
      <c r="AN29" s="63"/>
      <c r="AO29" s="63"/>
      <c r="AP29" s="96" t="str">
        <f ca="1">Calculations!M35</f>
        <v>Emergency Fund</v>
      </c>
      <c r="AQ29" s="61">
        <f ca="1">Calculations!N35</f>
        <v>100</v>
      </c>
      <c r="AR29" s="83"/>
    </row>
    <row r="30" spans="3:44" x14ac:dyDescent="0.25">
      <c r="C30" s="58" cm="1">
        <f t="array" ref="C30">IF(C29=-1,-1,
    IF(C29&lt;income_max_row,C29+1,
       IF(C29=income_max_row, income_total_row,
         IF(C29=income_total_row, "/1",
           IF(C29="/1", expenses_header_row,
            IF(C29&lt;expenses_max_row, C29+1,
             IF(C29=expenses_max_row, expenses_total_row,
              IF(C29=expenses_total_row, "/2",
               IF(C29="/2", savings_header_row,
                 IF(C29&lt;savings_max_row, C29+1,
                  IF(C29=savings_max_row, savings_total_row, -1)))))))))))</f>
        <v>33</v>
      </c>
      <c r="D30" s="59">
        <f t="shared" si="0"/>
        <v>22</v>
      </c>
      <c r="E30" s="58" cm="1">
        <f t="array" ref="E30">1*OR(row_id=income_header_row, row_id=expenses_header_row, row_id=savings_header_row)</f>
        <v>0</v>
      </c>
      <c r="F30" s="60">
        <f t="shared" si="1"/>
        <v>0</v>
      </c>
      <c r="G30" s="60" cm="1">
        <f t="array" ref="G30">1*OR(row_id=income_total_row, row_id=expenses_total_row, row_id=savings_total_row)</f>
        <v>1</v>
      </c>
      <c r="H30" s="59">
        <f t="shared" si="2"/>
        <v>0</v>
      </c>
      <c r="I30" s="58" t="str" cm="1">
        <f t="array" ref="I30">IFERROR(INDEX('Budget Planning'!$C:$C, header_row_id),"")</f>
        <v>Expenses</v>
      </c>
      <c r="J30" s="60" t="str" cm="1">
        <f t="array" ref="J30">IFERROR(INDEX('Budget Planning'!$C:$C, row_id),"")</f>
        <v>Total</v>
      </c>
      <c r="K30" s="61" cm="1">
        <f t="array" ref="K30">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3950</v>
      </c>
      <c r="L30" s="61" cm="1">
        <f t="array" aca="1" ref="L30" ca="1">IF(OR(is_header,is_empty),"",
   INDEX('Budget Planning'!$E:$EM, row_id,
        MATCH(IF(selected_period="Total Year", selected_year, DATE(selected_year, selected_period, 1)), 'Budget Planning'!$E$9:$EM$9, 0)))</f>
        <v>2700</v>
      </c>
      <c r="M30" s="67" t="str" cm="1">
        <f t="array" ref="M30">IF(is_cat,
    IF(header_row_id=income_header_row,MATCH(income_min_row, $C:$C,0),
      IF(header_row_id=expenses_header_row,MATCH(expenses_min_row, $C:$C,0),
        IF(header_row_id=savings_header_row,MATCH(savings_min_row, $C:$C,0), ""))),"")</f>
        <v/>
      </c>
      <c r="N30" s="68" t="str" cm="1">
        <f t="array" ref="N30">IF(is_cat,
    IF(header_row_id=income_header_row,MATCH(income_max_row, $C:$C,0),
      IF(header_row_id=expenses_header_row,MATCH(expenses_max_row, $C:$C,0),
        IF(header_row_id=savings_header_row,MATCH(savings_max_row, $C:$C,0), ""))),"")</f>
        <v/>
      </c>
      <c r="O30" s="67" t="str">
        <f t="shared" si="3"/>
        <v/>
      </c>
      <c r="P30" s="69" t="str">
        <f t="shared" ca="1" si="4"/>
        <v/>
      </c>
      <c r="Q30" s="69" t="str">
        <f t="shared" si="5"/>
        <v/>
      </c>
      <c r="R30" s="68" t="str">
        <f t="shared" ca="1" si="6"/>
        <v/>
      </c>
      <c r="S30" s="67" t="str">
        <f t="shared" si="7"/>
        <v/>
      </c>
      <c r="T30" s="69" t="str">
        <f t="shared" si="8"/>
        <v/>
      </c>
      <c r="U30" s="69" t="str">
        <f t="shared" ca="1" si="9"/>
        <v/>
      </c>
      <c r="V30" s="69" t="str">
        <f t="shared" si="10"/>
        <v/>
      </c>
      <c r="W30" s="68" t="str">
        <f t="shared" ca="1" si="11"/>
        <v/>
      </c>
      <c r="X30" s="71">
        <f t="shared" si="12"/>
        <v>33</v>
      </c>
      <c r="Y30" s="123" t="str">
        <f t="shared" ca="1" si="13"/>
        <v>Total</v>
      </c>
      <c r="Z30" s="78">
        <f t="shared" ca="1" si="14"/>
        <v>3950</v>
      </c>
      <c r="AA30" s="78">
        <f t="shared" ca="1" si="15"/>
        <v>2700</v>
      </c>
      <c r="AB30" s="77">
        <f t="shared" ca="1" si="18"/>
        <v>1.462962962962963</v>
      </c>
      <c r="AC30" s="94">
        <f t="shared" ca="1" si="16"/>
        <v>0</v>
      </c>
      <c r="AD30" s="94">
        <f t="shared" ca="1" si="17"/>
        <v>1250</v>
      </c>
      <c r="AF30" s="82"/>
      <c r="AG30" s="63"/>
      <c r="AH30" s="63"/>
      <c r="AI30" s="96" t="str">
        <f ca="1">Calculations!I36</f>
        <v>Enter Expense Catergory</v>
      </c>
      <c r="AJ30" s="61">
        <f ca="1">Calculations!J35</f>
        <v>800</v>
      </c>
      <c r="AK30" s="83"/>
      <c r="AM30" s="82"/>
      <c r="AN30" s="63"/>
      <c r="AO30" s="63"/>
      <c r="AP30" s="96" t="str">
        <f ca="1">Calculations!M36</f>
        <v/>
      </c>
      <c r="AQ30" s="61" t="str">
        <f ca="1">Calculations!N36</f>
        <v/>
      </c>
      <c r="AR30" s="83"/>
    </row>
    <row r="31" spans="3:44" ht="16.5" customHeight="1" x14ac:dyDescent="0.25">
      <c r="C31" s="58" t="str" cm="1">
        <f t="array" ref="C31">IF(C30=-1,-1,
    IF(C30&lt;income_max_row,C30+1,
       IF(C30=income_max_row, income_total_row,
         IF(C30=income_total_row, "/1",
           IF(C30="/1", expenses_header_row,
            IF(C30&lt;expenses_max_row, C30+1,
             IF(C30=expenses_max_row, expenses_total_row,
              IF(C30=expenses_total_row, "/2",
               IF(C30="/2", savings_header_row,
                 IF(C30&lt;savings_max_row, C30+1,
                  IF(C30=savings_max_row, savings_total_row, -1)))))))))))</f>
        <v>/2</v>
      </c>
      <c r="D31" s="59">
        <f t="shared" si="0"/>
        <v>-1</v>
      </c>
      <c r="E31" s="58" cm="1">
        <f t="array" ref="E31">1*OR(row_id=income_header_row, row_id=expenses_header_row, row_id=savings_header_row)</f>
        <v>0</v>
      </c>
      <c r="F31" s="60">
        <f t="shared" si="1"/>
        <v>0</v>
      </c>
      <c r="G31" s="60" cm="1">
        <f t="array" ref="G31">1*OR(row_id=income_total_row, row_id=expenses_total_row, row_id=savings_total_row)</f>
        <v>0</v>
      </c>
      <c r="H31" s="59">
        <f t="shared" si="2"/>
        <v>1</v>
      </c>
      <c r="I31" s="58" t="str" cm="1">
        <f t="array" ref="I31">IFERROR(INDEX('Budget Planning'!$C:$C, header_row_id),"")</f>
        <v/>
      </c>
      <c r="J31" s="60" t="str" cm="1">
        <f t="array" ref="J31">IFERROR(INDEX('Budget Planning'!$C:$C, row_id),"")</f>
        <v/>
      </c>
      <c r="K31" s="61" t="str" cm="1">
        <f t="array" ref="K31">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31" s="61" t="str" cm="1">
        <f t="array" ref="L31">IF(OR(is_header,is_empty),"",
   INDEX('Budget Planning'!$E:$EM, row_id,
        MATCH(IF(selected_period="Total Year", selected_year, DATE(selected_year, selected_period, 1)), 'Budget Planning'!$E$9:$EM$9, 0)))</f>
        <v/>
      </c>
      <c r="M31" s="67" t="str" cm="1">
        <f t="array" ref="M31">IF(is_cat,
    IF(header_row_id=income_header_row,MATCH(income_min_row, $C:$C,0),
      IF(header_row_id=expenses_header_row,MATCH(expenses_min_row, $C:$C,0),
        IF(header_row_id=savings_header_row,MATCH(savings_min_row, $C:$C,0), ""))),"")</f>
        <v/>
      </c>
      <c r="N31" s="68" t="str" cm="1">
        <f t="array" ref="N31">IF(is_cat,
    IF(header_row_id=income_header_row,MATCH(income_max_row, $C:$C,0),
      IF(header_row_id=expenses_header_row,MATCH(expenses_max_row, $C:$C,0),
        IF(header_row_id=savings_header_row,MATCH(savings_max_row, $C:$C,0), ""))),"")</f>
        <v/>
      </c>
      <c r="O31" s="67" t="str">
        <f t="shared" si="3"/>
        <v/>
      </c>
      <c r="P31" s="69" t="str">
        <f t="shared" ca="1" si="4"/>
        <v/>
      </c>
      <c r="Q31" s="69" t="str">
        <f t="shared" si="5"/>
        <v/>
      </c>
      <c r="R31" s="68" t="str">
        <f t="shared" ca="1" si="6"/>
        <v/>
      </c>
      <c r="S31" s="67" t="str">
        <f t="shared" si="7"/>
        <v/>
      </c>
      <c r="T31" s="69" t="str">
        <f t="shared" si="8"/>
        <v/>
      </c>
      <c r="U31" s="69" t="str">
        <f t="shared" ca="1" si="9"/>
        <v/>
      </c>
      <c r="V31" s="69" t="str">
        <f t="shared" si="10"/>
        <v/>
      </c>
      <c r="W31" s="68" t="str">
        <f t="shared" ca="1" si="11"/>
        <v/>
      </c>
      <c r="X31" s="71" t="str">
        <f t="shared" si="12"/>
        <v>/2</v>
      </c>
      <c r="Y31" s="123" t="str">
        <f t="shared" si="13"/>
        <v/>
      </c>
      <c r="Z31" s="78" t="str">
        <f t="shared" si="14"/>
        <v/>
      </c>
      <c r="AA31" s="78" t="str">
        <f t="shared" si="15"/>
        <v/>
      </c>
      <c r="AB31" s="77" t="str">
        <f t="shared" si="18"/>
        <v/>
      </c>
      <c r="AC31" s="94" t="str">
        <f t="shared" si="16"/>
        <v/>
      </c>
      <c r="AD31" s="94" t="str">
        <f t="shared" si="17"/>
        <v/>
      </c>
      <c r="AF31" s="82"/>
      <c r="AG31" s="63"/>
      <c r="AH31" s="63"/>
      <c r="AI31" s="96" t="str">
        <f ca="1">Calculations!I37</f>
        <v>Health &amp; Wellnes</v>
      </c>
      <c r="AJ31" s="61">
        <f ca="1">Calculations!J37</f>
        <v>500</v>
      </c>
      <c r="AK31" s="83"/>
      <c r="AM31" s="82"/>
      <c r="AN31" s="63"/>
      <c r="AO31" s="63"/>
      <c r="AP31" s="96" t="str">
        <f ca="1">Calculations!M37</f>
        <v/>
      </c>
      <c r="AQ31" s="61" t="str">
        <f ca="1">Calculations!N37</f>
        <v/>
      </c>
      <c r="AR31" s="83"/>
    </row>
    <row r="32" spans="3:44" ht="27.6" x14ac:dyDescent="0.25">
      <c r="C32" s="58" cm="1">
        <f t="array" ref="C32">IF(C31=-1,-1,
    IF(C31&lt;income_max_row,C31+1,
       IF(C31=income_max_row, income_total_row,
         IF(C31=income_total_row, "/1",
           IF(C31="/1", expenses_header_row,
            IF(C31&lt;expenses_max_row, C31+1,
             IF(C31=expenses_max_row, expenses_total_row,
              IF(C31=expenses_total_row, "/2",
               IF(C31="/2", savings_header_row,
                 IF(C31&lt;savings_max_row, C31+1,
                  IF(C31=savings_max_row, savings_total_row, -1)))))))))))</f>
        <v>35</v>
      </c>
      <c r="D32" s="59">
        <f t="shared" si="0"/>
        <v>35</v>
      </c>
      <c r="E32" s="58" cm="1">
        <f t="array" ref="E32">1*OR(row_id=income_header_row, row_id=expenses_header_row, row_id=savings_header_row)</f>
        <v>1</v>
      </c>
      <c r="F32" s="60">
        <f t="shared" si="1"/>
        <v>0</v>
      </c>
      <c r="G32" s="60" cm="1">
        <f t="array" ref="G32">1*OR(row_id=income_total_row, row_id=expenses_total_row, row_id=savings_total_row)</f>
        <v>0</v>
      </c>
      <c r="H32" s="59">
        <f t="shared" si="2"/>
        <v>0</v>
      </c>
      <c r="I32" s="58" t="str" cm="1">
        <f t="array" ref="I32">IFERROR(INDEX('Budget Planning'!$C:$C, header_row_id),"")</f>
        <v>Savings</v>
      </c>
      <c r="J32" s="60" t="str" cm="1">
        <f t="array" ref="J32">IFERROR(INDEX('Budget Planning'!$C:$C, row_id),"")</f>
        <v>Savings</v>
      </c>
      <c r="K32" s="61" t="str" cm="1">
        <f t="array" ref="K32">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32" s="61" t="str" cm="1">
        <f t="array" ref="L32">IF(OR(is_header,is_empty),"",
   INDEX('Budget Planning'!$E:$EM, row_id,
        MATCH(IF(selected_period="Total Year", selected_year, DATE(selected_year, selected_period, 1)), 'Budget Planning'!$E$9:$EM$9, 0)))</f>
        <v/>
      </c>
      <c r="M32" s="67" t="str" cm="1">
        <f t="array" ref="M32">IF(is_cat,
    IF(header_row_id=income_header_row,MATCH(income_min_row, $C:$C,0),
      IF(header_row_id=expenses_header_row,MATCH(expenses_min_row, $C:$C,0),
        IF(header_row_id=savings_header_row,MATCH(savings_min_row, $C:$C,0), ""))),"")</f>
        <v/>
      </c>
      <c r="N32" s="68" t="str" cm="1">
        <f t="array" ref="N32">IF(is_cat,
    IF(header_row_id=income_header_row,MATCH(income_max_row, $C:$C,0),
      IF(header_row_id=expenses_header_row,MATCH(expenses_max_row, $C:$C,0),
        IF(header_row_id=savings_header_row,MATCH(savings_max_row, $C:$C,0), ""))),"")</f>
        <v/>
      </c>
      <c r="O32" s="67" t="str">
        <f t="shared" si="3"/>
        <v/>
      </c>
      <c r="P32" s="69" t="str">
        <f t="shared" ca="1" si="4"/>
        <v/>
      </c>
      <c r="Q32" s="69" t="str">
        <f t="shared" si="5"/>
        <v/>
      </c>
      <c r="R32" s="68" t="str">
        <f t="shared" ca="1" si="6"/>
        <v/>
      </c>
      <c r="S32" s="67" t="str">
        <f t="shared" si="7"/>
        <v/>
      </c>
      <c r="T32" s="69" t="str">
        <f t="shared" si="8"/>
        <v/>
      </c>
      <c r="U32" s="69" t="str">
        <f t="shared" ca="1" si="9"/>
        <v/>
      </c>
      <c r="V32" s="69" t="str">
        <f t="shared" si="10"/>
        <v/>
      </c>
      <c r="W32" s="68" t="str">
        <f t="shared" ca="1" si="11"/>
        <v/>
      </c>
      <c r="X32" s="71">
        <f t="shared" si="12"/>
        <v>35</v>
      </c>
      <c r="Y32" s="123" t="str">
        <f t="shared" ca="1" si="13"/>
        <v>Savings</v>
      </c>
      <c r="Z32" s="78" t="str">
        <f t="shared" si="14"/>
        <v>Tracked</v>
      </c>
      <c r="AA32" s="78" t="str">
        <f t="shared" si="15"/>
        <v>Budget</v>
      </c>
      <c r="AB32" s="77" t="str">
        <f t="shared" si="18"/>
        <v>%Compl.</v>
      </c>
      <c r="AC32" s="94" t="str">
        <f t="shared" si="16"/>
        <v>Remaining</v>
      </c>
      <c r="AD32" s="94" t="str">
        <f t="shared" si="17"/>
        <v>Excess</v>
      </c>
      <c r="AF32" s="82"/>
      <c r="AG32" s="63"/>
      <c r="AH32" s="63"/>
      <c r="AI32" s="96" t="str">
        <f ca="1">Calculations!I38</f>
        <v>Family Tax</v>
      </c>
      <c r="AJ32" s="61">
        <f ca="1">Calculations!J38</f>
        <v>400</v>
      </c>
      <c r="AK32" s="83"/>
      <c r="AM32" s="82"/>
      <c r="AN32" s="63"/>
      <c r="AO32" s="63"/>
      <c r="AP32" s="96" t="str">
        <f ca="1">Calculations!M38</f>
        <v/>
      </c>
      <c r="AQ32" s="61" t="str">
        <f ca="1">Calculations!N38</f>
        <v/>
      </c>
      <c r="AR32" s="83"/>
    </row>
    <row r="33" spans="3:44" x14ac:dyDescent="0.25">
      <c r="C33" s="58" cm="1">
        <f t="array" ref="C33">IF(C32=-1,-1,
    IF(C32&lt;income_max_row,C32+1,
       IF(C32=income_max_row, income_total_row,
         IF(C32=income_total_row, "/1",
           IF(C32="/1", expenses_header_row,
            IF(C32&lt;expenses_max_row, C32+1,
             IF(C32=expenses_max_row, expenses_total_row,
              IF(C32=expenses_total_row, "/2",
               IF(C32="/2", savings_header_row,
                 IF(C32&lt;savings_max_row, C32+1,
                  IF(C32=savings_max_row, savings_total_row, -1)))))))))))</f>
        <v>36</v>
      </c>
      <c r="D33" s="59">
        <f t="shared" si="0"/>
        <v>35</v>
      </c>
      <c r="E33" s="58" cm="1">
        <f t="array" ref="E33">1*OR(row_id=income_header_row, row_id=expenses_header_row, row_id=savings_header_row)</f>
        <v>0</v>
      </c>
      <c r="F33" s="60">
        <f t="shared" si="1"/>
        <v>1</v>
      </c>
      <c r="G33" s="60" cm="1">
        <f t="array" ref="G33">1*OR(row_id=income_total_row, row_id=expenses_total_row, row_id=savings_total_row)</f>
        <v>0</v>
      </c>
      <c r="H33" s="59">
        <f t="shared" si="2"/>
        <v>0</v>
      </c>
      <c r="I33" s="58" t="str" cm="1">
        <f t="array" ref="I33">IFERROR(INDEX('Budget Planning'!$C:$C, header_row_id),"")</f>
        <v>Savings</v>
      </c>
      <c r="J33" s="60" t="str" cm="1">
        <f t="array" ref="J33">IFERROR(INDEX('Budget Planning'!$C:$C, row_id),"")</f>
        <v>Emergency Fund</v>
      </c>
      <c r="K33" s="61" cm="1">
        <f t="array" ref="K33">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100</v>
      </c>
      <c r="L33" s="61" cm="1">
        <f t="array" ref="L33">IF(OR(is_header,is_empty),"",
   INDEX('Budget Planning'!$E:$EM, row_id,
        MATCH(IF(selected_period="Total Year", selected_year, DATE(selected_year, selected_period, 1)), 'Budget Planning'!$E$9:$EM$9, 0)))</f>
        <v>0</v>
      </c>
      <c r="M33" s="67" cm="1">
        <f t="array" ref="M33">IF(is_cat,
    IF(header_row_id=income_header_row,MATCH(income_min_row, $C:$C,0),
      IF(header_row_id=expenses_header_row,MATCH(expenses_min_row, $C:$C,0),
        IF(header_row_id=savings_header_row,MATCH(savings_min_row, $C:$C,0), ""))),"")</f>
        <v>33</v>
      </c>
      <c r="N33" s="68" cm="1">
        <f t="array" ref="N33">IF(is_cat,
    IF(header_row_id=income_header_row,MATCH(income_max_row, $C:$C,0),
      IF(header_row_id=expenses_header_row,MATCH(expenses_max_row, $C:$C,0),
        IF(header_row_id=savings_header_row,MATCH(savings_max_row, $C:$C,0), ""))),"")</f>
        <v>39</v>
      </c>
      <c r="O33" s="67" t="str">
        <f t="shared" si="3"/>
        <v>$K$33:$K$39</v>
      </c>
      <c r="P33" s="69">
        <f t="shared" ca="1" si="4"/>
        <v>1</v>
      </c>
      <c r="Q33" s="69" t="str">
        <f t="shared" si="5"/>
        <v>$L$33:$L$39</v>
      </c>
      <c r="R33" s="68">
        <f t="shared" ca="1" si="6"/>
        <v>1</v>
      </c>
      <c r="S33" s="67">
        <f t="shared" ca="1" si="7"/>
        <v>11</v>
      </c>
      <c r="T33" s="69" t="str">
        <f t="shared" si="8"/>
        <v>$S$33:$S$39</v>
      </c>
      <c r="U33" s="69">
        <f t="shared" ca="1" si="9"/>
        <v>1</v>
      </c>
      <c r="V33" s="69" t="str">
        <f t="shared" si="10"/>
        <v>$U$33:$U$33</v>
      </c>
      <c r="W33" s="68">
        <f t="shared" ca="1" si="11"/>
        <v>1</v>
      </c>
      <c r="X33" s="71">
        <f t="shared" ca="1" si="12"/>
        <v>36</v>
      </c>
      <c r="Y33" s="123" t="str">
        <f t="shared" ca="1" si="13"/>
        <v>Emergency Fund</v>
      </c>
      <c r="Z33" s="78">
        <f t="shared" ca="1" si="14"/>
        <v>100</v>
      </c>
      <c r="AA33" s="78">
        <f t="shared" ca="1" si="15"/>
        <v>0</v>
      </c>
      <c r="AB33" s="77" t="str">
        <f t="shared" ca="1" si="18"/>
        <v>-</v>
      </c>
      <c r="AC33" s="94">
        <f t="shared" ca="1" si="16"/>
        <v>0</v>
      </c>
      <c r="AD33" s="94">
        <f t="shared" ca="1" si="17"/>
        <v>100</v>
      </c>
      <c r="AF33" s="82"/>
      <c r="AG33" s="63"/>
      <c r="AH33" s="63"/>
      <c r="AI33" s="96" t="str">
        <f ca="1">Calculations!I39</f>
        <v>Groceries</v>
      </c>
      <c r="AJ33" s="61">
        <f ca="1">Calculations!J39</f>
        <v>200</v>
      </c>
      <c r="AK33" s="83"/>
      <c r="AM33" s="82"/>
      <c r="AN33" s="63"/>
      <c r="AO33" s="63"/>
      <c r="AP33" s="96" t="str">
        <f ca="1">Calculations!M39</f>
        <v/>
      </c>
      <c r="AQ33" s="61" t="str">
        <f ca="1">Calculations!N39</f>
        <v/>
      </c>
      <c r="AR33" s="83"/>
    </row>
    <row r="34" spans="3:44" x14ac:dyDescent="0.25">
      <c r="C34" s="58" cm="1">
        <f t="array" ref="C34">IF(C33=-1,-1,
    IF(C33&lt;income_max_row,C33+1,
       IF(C33=income_max_row, income_total_row,
         IF(C33=income_total_row, "/1",
           IF(C33="/1", expenses_header_row,
            IF(C33&lt;expenses_max_row, C33+1,
             IF(C33=expenses_max_row, expenses_total_row,
              IF(C33=expenses_total_row, "/2",
               IF(C33="/2", savings_header_row,
                 IF(C33&lt;savings_max_row, C33+1,
                  IF(C33=savings_max_row, savings_total_row, -1)))))))))))</f>
        <v>37</v>
      </c>
      <c r="D34" s="59">
        <f t="shared" si="0"/>
        <v>35</v>
      </c>
      <c r="E34" s="58" cm="1">
        <f t="array" ref="E34">1*OR(row_id=income_header_row, row_id=expenses_header_row, row_id=savings_header_row)</f>
        <v>0</v>
      </c>
      <c r="F34" s="60">
        <f t="shared" si="1"/>
        <v>1</v>
      </c>
      <c r="G34" s="60" cm="1">
        <f t="array" ref="G34">1*OR(row_id=income_total_row, row_id=expenses_total_row, row_id=savings_total_row)</f>
        <v>0</v>
      </c>
      <c r="H34" s="59">
        <f t="shared" si="2"/>
        <v>0</v>
      </c>
      <c r="I34" s="58" t="str" cm="1">
        <f t="array" ref="I34">IFERROR(INDEX('Budget Planning'!$C:$C, header_row_id),"")</f>
        <v>Savings</v>
      </c>
      <c r="J34" s="60" t="str" cm="1">
        <f t="array" ref="J34">IFERROR(INDEX('Budget Planning'!$C:$C, row_id),"")</f>
        <v>Rent(saving)</v>
      </c>
      <c r="K34" s="61" cm="1">
        <f t="array" ref="K34">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0</v>
      </c>
      <c r="L34" s="61" cm="1">
        <f t="array" ref="L34">IF(OR(is_header,is_empty),"",
   INDEX('Budget Planning'!$E:$EM, row_id,
        MATCH(IF(selected_period="Total Year", selected_year, DATE(selected_year, selected_period, 1)), 'Budget Planning'!$E$9:$EM$9, 0)))</f>
        <v>0</v>
      </c>
      <c r="M34" s="67" cm="1">
        <f t="array" ref="M34">IF(is_cat,
    IF(header_row_id=income_header_row,MATCH(income_min_row, $C:$C,0),
      IF(header_row_id=expenses_header_row,MATCH(expenses_min_row, $C:$C,0),
        IF(header_row_id=savings_header_row,MATCH(savings_min_row, $C:$C,0), ""))),"")</f>
        <v>33</v>
      </c>
      <c r="N34" s="68" cm="1">
        <f t="array" ref="N34">IF(is_cat,
    IF(header_row_id=income_header_row,MATCH(income_max_row, $C:$C,0),
      IF(header_row_id=expenses_header_row,MATCH(expenses_max_row, $C:$C,0),
        IF(header_row_id=savings_header_row,MATCH(savings_max_row, $C:$C,0), ""))),"")</f>
        <v>39</v>
      </c>
      <c r="O34" s="67" t="str">
        <f t="shared" si="3"/>
        <v>$K$33:$K$39</v>
      </c>
      <c r="P34" s="69">
        <f t="shared" ca="1" si="4"/>
        <v>2</v>
      </c>
      <c r="Q34" s="69" t="str">
        <f t="shared" si="5"/>
        <v>$L$33:$L$39</v>
      </c>
      <c r="R34" s="68">
        <f t="shared" ca="1" si="6"/>
        <v>1</v>
      </c>
      <c r="S34" s="67">
        <f t="shared" ca="1" si="7"/>
        <v>21</v>
      </c>
      <c r="T34" s="69" t="str">
        <f t="shared" si="8"/>
        <v>$S$33:$S$39</v>
      </c>
      <c r="U34" s="69">
        <f t="shared" ca="1" si="9"/>
        <v>2</v>
      </c>
      <c r="V34" s="69" t="str">
        <f t="shared" si="10"/>
        <v>$U$33:$U$34</v>
      </c>
      <c r="W34" s="68">
        <f t="shared" ca="1" si="11"/>
        <v>2</v>
      </c>
      <c r="X34" s="71">
        <f t="shared" ca="1" si="12"/>
        <v>37</v>
      </c>
      <c r="Y34" s="123" t="str">
        <f t="shared" ca="1" si="13"/>
        <v>Rent(saving)</v>
      </c>
      <c r="Z34" s="78">
        <f t="shared" ca="1" si="14"/>
        <v>0</v>
      </c>
      <c r="AA34" s="78">
        <f t="shared" ca="1" si="15"/>
        <v>0</v>
      </c>
      <c r="AB34" s="77" t="str">
        <f t="shared" ca="1" si="18"/>
        <v>-</v>
      </c>
      <c r="AC34" s="94">
        <f t="shared" ca="1" si="16"/>
        <v>0</v>
      </c>
      <c r="AD34" s="94">
        <f t="shared" ca="1" si="17"/>
        <v>0</v>
      </c>
      <c r="AF34" s="82"/>
      <c r="AG34" s="63"/>
      <c r="AH34" s="63"/>
      <c r="AI34" s="96" t="str">
        <f ca="1">Calculations!I40</f>
        <v>Other</v>
      </c>
      <c r="AJ34" s="61">
        <f ca="1">Calculations!J40</f>
        <v>1450</v>
      </c>
      <c r="AK34" s="83"/>
      <c r="AM34" s="82"/>
      <c r="AN34" s="63"/>
      <c r="AO34" s="63"/>
      <c r="AP34" s="96" t="str">
        <f ca="1">Calculations!M40</f>
        <v/>
      </c>
      <c r="AQ34" s="61" t="str">
        <f ca="1">Calculations!N40</f>
        <v/>
      </c>
      <c r="AR34" s="83"/>
    </row>
    <row r="35" spans="3:44" x14ac:dyDescent="0.25">
      <c r="C35" s="58" cm="1">
        <f t="array" ref="C35">IF(C34=-1,-1,
    IF(C34&lt;income_max_row,C34+1,
       IF(C34=income_max_row, income_total_row,
         IF(C34=income_total_row, "/1",
           IF(C34="/1", expenses_header_row,
            IF(C34&lt;expenses_max_row, C34+1,
             IF(C34=expenses_max_row, expenses_total_row,
              IF(C34=expenses_total_row, "/2",
               IF(C34="/2", savings_header_row,
                 IF(C34&lt;savings_max_row, C34+1,
                  IF(C34=savings_max_row, savings_total_row, -1)))))))))))</f>
        <v>38</v>
      </c>
      <c r="D35" s="59">
        <f t="shared" si="0"/>
        <v>35</v>
      </c>
      <c r="E35" s="58" cm="1">
        <f t="array" ref="E35">1*OR(row_id=income_header_row, row_id=expenses_header_row, row_id=savings_header_row)</f>
        <v>0</v>
      </c>
      <c r="F35" s="60">
        <f t="shared" si="1"/>
        <v>1</v>
      </c>
      <c r="G35" s="60" cm="1">
        <f t="array" ref="G35">1*OR(row_id=income_total_row, row_id=expenses_total_row, row_id=savings_total_row)</f>
        <v>0</v>
      </c>
      <c r="H35" s="59">
        <f t="shared" si="2"/>
        <v>0</v>
      </c>
      <c r="I35" s="58" t="str" cm="1">
        <f t="array" ref="I35">IFERROR(INDEX('Budget Planning'!$C:$C, header_row_id),"")</f>
        <v>Savings</v>
      </c>
      <c r="J35" s="60" t="str" cm="1">
        <f t="array" ref="J35">IFERROR(INDEX('Budget Planning'!$C:$C, row_id),"")</f>
        <v>Stock Portfolio</v>
      </c>
      <c r="K35" s="61" cm="1">
        <f t="array" ref="K35">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0</v>
      </c>
      <c r="L35" s="61" cm="1">
        <f t="array" ref="L35">IF(OR(is_header,is_empty),"",
   INDEX('Budget Planning'!$E:$EM, row_id,
        MATCH(IF(selected_period="Total Year", selected_year, DATE(selected_year, selected_period, 1)), 'Budget Planning'!$E$9:$EM$9, 0)))</f>
        <v>0</v>
      </c>
      <c r="M35" s="67" cm="1">
        <f t="array" ref="M35">IF(is_cat,
    IF(header_row_id=income_header_row,MATCH(income_min_row, $C:$C,0),
      IF(header_row_id=expenses_header_row,MATCH(expenses_min_row, $C:$C,0),
        IF(header_row_id=savings_header_row,MATCH(savings_min_row, $C:$C,0), ""))),"")</f>
        <v>33</v>
      </c>
      <c r="N35" s="68" cm="1">
        <f t="array" ref="N35">IF(is_cat,
    IF(header_row_id=income_header_row,MATCH(income_max_row, $C:$C,0),
      IF(header_row_id=expenses_header_row,MATCH(expenses_max_row, $C:$C,0),
        IF(header_row_id=savings_header_row,MATCH(savings_max_row, $C:$C,0), ""))),"")</f>
        <v>39</v>
      </c>
      <c r="O35" s="67" t="str">
        <f t="shared" si="3"/>
        <v>$K$33:$K$39</v>
      </c>
      <c r="P35" s="69">
        <f t="shared" ca="1" si="4"/>
        <v>2</v>
      </c>
      <c r="Q35" s="69" t="str">
        <f t="shared" si="5"/>
        <v>$L$33:$L$39</v>
      </c>
      <c r="R35" s="68">
        <f t="shared" ca="1" si="6"/>
        <v>1</v>
      </c>
      <c r="S35" s="67">
        <f t="shared" ca="1" si="7"/>
        <v>21</v>
      </c>
      <c r="T35" s="69" t="str">
        <f t="shared" si="8"/>
        <v>$S$33:$S$39</v>
      </c>
      <c r="U35" s="69">
        <f t="shared" ca="1" si="9"/>
        <v>2</v>
      </c>
      <c r="V35" s="69" t="str">
        <f t="shared" si="10"/>
        <v>$U$33:$U$35</v>
      </c>
      <c r="W35" s="68">
        <f t="shared" ca="1" si="11"/>
        <v>3</v>
      </c>
      <c r="X35" s="71">
        <f t="shared" ca="1" si="12"/>
        <v>38</v>
      </c>
      <c r="Y35" s="123" t="str">
        <f t="shared" ca="1" si="13"/>
        <v>Stock Portfolio</v>
      </c>
      <c r="Z35" s="78">
        <f t="shared" ca="1" si="14"/>
        <v>0</v>
      </c>
      <c r="AA35" s="78">
        <f t="shared" ca="1" si="15"/>
        <v>0</v>
      </c>
      <c r="AB35" s="77" t="str">
        <f t="shared" ca="1" si="18"/>
        <v>-</v>
      </c>
      <c r="AC35" s="94">
        <f t="shared" ca="1" si="16"/>
        <v>0</v>
      </c>
      <c r="AD35" s="94">
        <f t="shared" ca="1" si="17"/>
        <v>0</v>
      </c>
      <c r="AF35" s="82"/>
      <c r="AG35" s="63"/>
      <c r="AH35" s="63"/>
      <c r="AI35" s="97" t="str">
        <f>Calculations!I41</f>
        <v>Total</v>
      </c>
      <c r="AJ35" s="98">
        <f ca="1">Calculations!J41</f>
        <v>3950</v>
      </c>
      <c r="AK35" s="83"/>
      <c r="AM35" s="82"/>
      <c r="AN35" s="63"/>
      <c r="AO35" s="63"/>
      <c r="AP35" s="97" t="str">
        <f>Calculations!M41</f>
        <v>Total</v>
      </c>
      <c r="AQ35" s="98">
        <f ca="1">Calculations!N41</f>
        <v>100</v>
      </c>
      <c r="AR35" s="83"/>
    </row>
    <row r="36" spans="3:44" x14ac:dyDescent="0.25">
      <c r="C36" s="58" cm="1">
        <f t="array" ref="C36">IF(C35=-1,-1,
    IF(C35&lt;income_max_row,C35+1,
       IF(C35=income_max_row, income_total_row,
         IF(C35=income_total_row, "/1",
           IF(C35="/1", expenses_header_row,
            IF(C35&lt;expenses_max_row, C35+1,
             IF(C35=expenses_max_row, expenses_total_row,
              IF(C35=expenses_total_row, "/2",
               IF(C35="/2", savings_header_row,
                 IF(C35&lt;savings_max_row, C35+1,
                  IF(C35=savings_max_row, savings_total_row, -1)))))))))))</f>
        <v>39</v>
      </c>
      <c r="D36" s="59">
        <f t="shared" si="0"/>
        <v>35</v>
      </c>
      <c r="E36" s="58" cm="1">
        <f t="array" ref="E36">1*OR(row_id=income_header_row, row_id=expenses_header_row, row_id=savings_header_row)</f>
        <v>0</v>
      </c>
      <c r="F36" s="60">
        <f t="shared" si="1"/>
        <v>1</v>
      </c>
      <c r="G36" s="60" cm="1">
        <f t="array" ref="G36">1*OR(row_id=income_total_row, row_id=expenses_total_row, row_id=savings_total_row)</f>
        <v>0</v>
      </c>
      <c r="H36" s="59">
        <f t="shared" si="2"/>
        <v>0</v>
      </c>
      <c r="I36" s="58" t="str" cm="1">
        <f t="array" ref="I36">IFERROR(INDEX('Budget Planning'!$C:$C, header_row_id),"")</f>
        <v>Savings</v>
      </c>
      <c r="J36" s="60" t="str" cm="1">
        <f t="array" ref="J36">IFERROR(INDEX('Budget Planning'!$C:$C, row_id),"")</f>
        <v>Sinking Fund</v>
      </c>
      <c r="K36" s="61" cm="1">
        <f t="array" ref="K36">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0</v>
      </c>
      <c r="L36" s="61" cm="1">
        <f t="array" ref="L36">IF(OR(is_header,is_empty),"",
   INDEX('Budget Planning'!$E:$EM, row_id,
        MATCH(IF(selected_period="Total Year", selected_year, DATE(selected_year, selected_period, 1)), 'Budget Planning'!$E$9:$EM$9, 0)))</f>
        <v>0</v>
      </c>
      <c r="M36" s="67" cm="1">
        <f t="array" ref="M36">IF(is_cat,
    IF(header_row_id=income_header_row,MATCH(income_min_row, $C:$C,0),
      IF(header_row_id=expenses_header_row,MATCH(expenses_min_row, $C:$C,0),
        IF(header_row_id=savings_header_row,MATCH(savings_min_row, $C:$C,0), ""))),"")</f>
        <v>33</v>
      </c>
      <c r="N36" s="68" cm="1">
        <f t="array" ref="N36">IF(is_cat,
    IF(header_row_id=income_header_row,MATCH(income_max_row, $C:$C,0),
      IF(header_row_id=expenses_header_row,MATCH(expenses_max_row, $C:$C,0),
        IF(header_row_id=savings_header_row,MATCH(savings_max_row, $C:$C,0), ""))),"")</f>
        <v>39</v>
      </c>
      <c r="O36" s="67" t="str">
        <f t="shared" si="3"/>
        <v>$K$33:$K$39</v>
      </c>
      <c r="P36" s="69">
        <f t="shared" ca="1" si="4"/>
        <v>2</v>
      </c>
      <c r="Q36" s="69" t="str">
        <f t="shared" si="5"/>
        <v>$L$33:$L$39</v>
      </c>
      <c r="R36" s="68">
        <f t="shared" ca="1" si="6"/>
        <v>1</v>
      </c>
      <c r="S36" s="67">
        <f t="shared" ca="1" si="7"/>
        <v>21</v>
      </c>
      <c r="T36" s="69" t="str">
        <f t="shared" si="8"/>
        <v>$S$33:$S$39</v>
      </c>
      <c r="U36" s="69">
        <f t="shared" ca="1" si="9"/>
        <v>2</v>
      </c>
      <c r="V36" s="69" t="str">
        <f t="shared" si="10"/>
        <v>$U$33:$U$36</v>
      </c>
      <c r="W36" s="68">
        <f t="shared" ca="1" si="11"/>
        <v>4</v>
      </c>
      <c r="X36" s="71">
        <f t="shared" ca="1" si="12"/>
        <v>39</v>
      </c>
      <c r="Y36" s="124" t="str">
        <f t="shared" ca="1" si="13"/>
        <v>Sinking Fund</v>
      </c>
      <c r="Z36" s="78">
        <f t="shared" ca="1" si="14"/>
        <v>0</v>
      </c>
      <c r="AA36" s="78">
        <f t="shared" ca="1" si="15"/>
        <v>0</v>
      </c>
      <c r="AB36" s="77" t="str">
        <f t="shared" ca="1" si="18"/>
        <v>-</v>
      </c>
      <c r="AC36" s="94">
        <f t="shared" ca="1" si="16"/>
        <v>0</v>
      </c>
      <c r="AD36" s="94">
        <f t="shared" ca="1" si="17"/>
        <v>0</v>
      </c>
      <c r="AF36" s="82"/>
      <c r="AG36" s="63"/>
      <c r="AH36" s="63"/>
      <c r="AI36" s="95"/>
      <c r="AJ36" s="63"/>
      <c r="AK36" s="83"/>
      <c r="AM36" s="82"/>
      <c r="AN36" s="63"/>
      <c r="AO36" s="63"/>
      <c r="AP36" s="95"/>
      <c r="AQ36" s="63"/>
      <c r="AR36" s="83"/>
    </row>
    <row r="37" spans="3:44" x14ac:dyDescent="0.25">
      <c r="C37" s="58" cm="1">
        <f t="array" ref="C37">IF(C36=-1,-1,
    IF(C36&lt;income_max_row,C36+1,
       IF(C36=income_max_row, income_total_row,
         IF(C36=income_total_row, "/1",
           IF(C36="/1", expenses_header_row,
            IF(C36&lt;expenses_max_row, C36+1,
             IF(C36=expenses_max_row, expenses_total_row,
              IF(C36=expenses_total_row, "/2",
               IF(C36="/2", savings_header_row,
                 IF(C36&lt;savings_max_row, C36+1,
                  IF(C36=savings_max_row, savings_total_row, -1)))))))))))</f>
        <v>40</v>
      </c>
      <c r="D37" s="59">
        <f t="shared" si="0"/>
        <v>35</v>
      </c>
      <c r="E37" s="58" cm="1">
        <f t="array" ref="E37">1*OR(row_id=income_header_row, row_id=expenses_header_row, row_id=savings_header_row)</f>
        <v>0</v>
      </c>
      <c r="F37" s="60">
        <f t="shared" si="1"/>
        <v>1</v>
      </c>
      <c r="G37" s="60" cm="1">
        <f t="array" ref="G37">1*OR(row_id=income_total_row, row_id=expenses_total_row, row_id=savings_total_row)</f>
        <v>0</v>
      </c>
      <c r="H37" s="59">
        <f t="shared" si="2"/>
        <v>0</v>
      </c>
      <c r="I37" s="58" t="str" cm="1">
        <f t="array" ref="I37">IFERROR(INDEX('Budget Planning'!$C:$C, header_row_id),"")</f>
        <v>Savings</v>
      </c>
      <c r="J37" s="60" t="str" cm="1">
        <f t="array" ref="J37">IFERROR(INDEX('Budget Planning'!$C:$C, row_id),"")</f>
        <v>Debt Repayment</v>
      </c>
      <c r="K37" s="61" cm="1">
        <f t="array" ref="K37">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0</v>
      </c>
      <c r="L37" s="61" cm="1">
        <f t="array" ref="L37">IF(OR(is_header,is_empty),"",
   INDEX('Budget Planning'!$E:$EM, row_id,
        MATCH(IF(selected_period="Total Year", selected_year, DATE(selected_year, selected_period, 1)), 'Budget Planning'!$E$9:$EM$9, 0)))</f>
        <v>0</v>
      </c>
      <c r="M37" s="67" cm="1">
        <f t="array" ref="M37">IF(is_cat,
    IF(header_row_id=income_header_row,MATCH(income_min_row, $C:$C,0),
      IF(header_row_id=expenses_header_row,MATCH(expenses_min_row, $C:$C,0),
        IF(header_row_id=savings_header_row,MATCH(savings_min_row, $C:$C,0), ""))),"")</f>
        <v>33</v>
      </c>
      <c r="N37" s="68" cm="1">
        <f t="array" ref="N37">IF(is_cat,
    IF(header_row_id=income_header_row,MATCH(income_max_row, $C:$C,0),
      IF(header_row_id=expenses_header_row,MATCH(expenses_max_row, $C:$C,0),
        IF(header_row_id=savings_header_row,MATCH(savings_max_row, $C:$C,0), ""))),"")</f>
        <v>39</v>
      </c>
      <c r="O37" s="67" t="str">
        <f t="shared" si="3"/>
        <v>$K$33:$K$39</v>
      </c>
      <c r="P37" s="69">
        <f t="shared" ca="1" si="4"/>
        <v>2</v>
      </c>
      <c r="Q37" s="69" t="str">
        <f t="shared" si="5"/>
        <v>$L$33:$L$39</v>
      </c>
      <c r="R37" s="68">
        <f t="shared" ca="1" si="6"/>
        <v>1</v>
      </c>
      <c r="S37" s="67">
        <f t="shared" ca="1" si="7"/>
        <v>21</v>
      </c>
      <c r="T37" s="69" t="str">
        <f t="shared" si="8"/>
        <v>$S$33:$S$39</v>
      </c>
      <c r="U37" s="69">
        <f t="shared" ca="1" si="9"/>
        <v>2</v>
      </c>
      <c r="V37" s="69" t="str">
        <f t="shared" si="10"/>
        <v>$U$33:$U$37</v>
      </c>
      <c r="W37" s="68">
        <f t="shared" ca="1" si="11"/>
        <v>5</v>
      </c>
      <c r="X37" s="71">
        <f t="shared" ca="1" si="12"/>
        <v>40</v>
      </c>
      <c r="Y37" s="123" t="str">
        <f t="shared" ca="1" si="13"/>
        <v>Debt Repayment</v>
      </c>
      <c r="Z37" s="78">
        <f t="shared" ca="1" si="14"/>
        <v>0</v>
      </c>
      <c r="AA37" s="78">
        <f t="shared" ca="1" si="15"/>
        <v>0</v>
      </c>
      <c r="AB37" s="77" t="str">
        <f t="shared" ca="1" si="18"/>
        <v>-</v>
      </c>
      <c r="AC37" s="94">
        <f t="shared" ca="1" si="16"/>
        <v>0</v>
      </c>
      <c r="AD37" s="94">
        <f t="shared" ca="1" si="17"/>
        <v>0</v>
      </c>
      <c r="AF37" s="84"/>
      <c r="AG37" s="85"/>
      <c r="AH37" s="85"/>
      <c r="AI37" s="85"/>
      <c r="AJ37" s="85"/>
      <c r="AK37" s="86"/>
      <c r="AM37" s="84"/>
      <c r="AN37" s="85"/>
      <c r="AO37" s="85"/>
      <c r="AP37" s="85"/>
      <c r="AQ37" s="85"/>
      <c r="AR37" s="86"/>
    </row>
    <row r="38" spans="3:44" ht="27.6" x14ac:dyDescent="0.25">
      <c r="C38" s="58" cm="1">
        <f t="array" ref="C38">IF(C37=-1,-1,
    IF(C37&lt;income_max_row,C37+1,
       IF(C37=income_max_row, income_total_row,
         IF(C37=income_total_row, "/1",
           IF(C37="/1", expenses_header_row,
            IF(C37&lt;expenses_max_row, C37+1,
             IF(C37=expenses_max_row, expenses_total_row,
              IF(C37=expenses_total_row, "/2",
               IF(C37="/2", savings_header_row,
                 IF(C37&lt;savings_max_row, C37+1,
                  IF(C37=savings_max_row, savings_total_row, -1)))))))))))</f>
        <v>41</v>
      </c>
      <c r="D38" s="59">
        <f t="shared" si="0"/>
        <v>35</v>
      </c>
      <c r="E38" s="58" cm="1">
        <f t="array" ref="E38">1*OR(row_id=income_header_row, row_id=expenses_header_row, row_id=savings_header_row)</f>
        <v>0</v>
      </c>
      <c r="F38" s="60">
        <f t="shared" si="1"/>
        <v>1</v>
      </c>
      <c r="G38" s="60" cm="1">
        <f t="array" ref="G38">1*OR(row_id=income_total_row, row_id=expenses_total_row, row_id=savings_total_row)</f>
        <v>0</v>
      </c>
      <c r="H38" s="59">
        <f t="shared" si="2"/>
        <v>0</v>
      </c>
      <c r="I38" s="58" t="str" cm="1">
        <f t="array" ref="I38">IFERROR(INDEX('Budget Planning'!$C:$C, header_row_id),"")</f>
        <v>Savings</v>
      </c>
      <c r="J38" s="60" t="str" cm="1">
        <f t="array" ref="J38">IFERROR(INDEX('Budget Planning'!$C:$C, row_id),"")</f>
        <v>Enter Savings Catergory</v>
      </c>
      <c r="K38" s="61" cm="1">
        <f t="array" ref="K38">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0</v>
      </c>
      <c r="L38" s="61" cm="1">
        <f t="array" ref="L38">IF(OR(is_header,is_empty),"",
   INDEX('Budget Planning'!$E:$EM, row_id,
        MATCH(IF(selected_period="Total Year", selected_year, DATE(selected_year, selected_period, 1)), 'Budget Planning'!$E$9:$EM$9, 0)))</f>
        <v>0</v>
      </c>
      <c r="M38" s="67" cm="1">
        <f t="array" ref="M38">IF(is_cat,
    IF(header_row_id=income_header_row,MATCH(income_min_row, $C:$C,0),
      IF(header_row_id=expenses_header_row,MATCH(expenses_min_row, $C:$C,0),
        IF(header_row_id=savings_header_row,MATCH(savings_min_row, $C:$C,0), ""))),"")</f>
        <v>33</v>
      </c>
      <c r="N38" s="68" cm="1">
        <f t="array" ref="N38">IF(is_cat,
    IF(header_row_id=income_header_row,MATCH(income_max_row, $C:$C,0),
      IF(header_row_id=expenses_header_row,MATCH(expenses_max_row, $C:$C,0),
        IF(header_row_id=savings_header_row,MATCH(savings_max_row, $C:$C,0), ""))),"")</f>
        <v>39</v>
      </c>
      <c r="O38" s="67" t="str">
        <f t="shared" si="3"/>
        <v>$K$33:$K$39</v>
      </c>
      <c r="P38" s="69">
        <f t="shared" ca="1" si="4"/>
        <v>2</v>
      </c>
      <c r="Q38" s="69" t="str">
        <f t="shared" si="5"/>
        <v>$L$33:$L$39</v>
      </c>
      <c r="R38" s="68">
        <f t="shared" ca="1" si="6"/>
        <v>1</v>
      </c>
      <c r="S38" s="67">
        <f t="shared" ca="1" si="7"/>
        <v>21</v>
      </c>
      <c r="T38" s="69" t="str">
        <f t="shared" si="8"/>
        <v>$S$33:$S$39</v>
      </c>
      <c r="U38" s="69">
        <f t="shared" ca="1" si="9"/>
        <v>2</v>
      </c>
      <c r="V38" s="69" t="str">
        <f t="shared" si="10"/>
        <v>$U$33:$U$38</v>
      </c>
      <c r="W38" s="68">
        <f t="shared" ca="1" si="11"/>
        <v>6</v>
      </c>
      <c r="X38" s="71">
        <f t="shared" ca="1" si="12"/>
        <v>41</v>
      </c>
      <c r="Y38" s="123" t="str">
        <f t="shared" ca="1" si="13"/>
        <v>Enter Savings Catergory</v>
      </c>
      <c r="Z38" s="78">
        <f t="shared" ca="1" si="14"/>
        <v>0</v>
      </c>
      <c r="AA38" s="78">
        <f t="shared" ca="1" si="15"/>
        <v>0</v>
      </c>
      <c r="AB38" s="77" t="str">
        <f t="shared" ca="1" si="18"/>
        <v>-</v>
      </c>
      <c r="AC38" s="94">
        <f t="shared" ca="1" si="16"/>
        <v>0</v>
      </c>
      <c r="AD38" s="94">
        <f t="shared" ca="1" si="17"/>
        <v>0</v>
      </c>
    </row>
    <row r="39" spans="3:44" ht="27.6" x14ac:dyDescent="0.25">
      <c r="C39" s="58" cm="1">
        <f t="array" ref="C39">IF(C38=-1,-1,
    IF(C38&lt;income_max_row,C38+1,
       IF(C38=income_max_row, income_total_row,
         IF(C38=income_total_row, "/1",
           IF(C38="/1", expenses_header_row,
            IF(C38&lt;expenses_max_row, C38+1,
             IF(C38=expenses_max_row, expenses_total_row,
              IF(C38=expenses_total_row, "/2",
               IF(C38="/2", savings_header_row,
                 IF(C38&lt;savings_max_row, C38+1,
                  IF(C38=savings_max_row, savings_total_row, -1)))))))))))</f>
        <v>42</v>
      </c>
      <c r="D39" s="59">
        <f t="shared" si="0"/>
        <v>35</v>
      </c>
      <c r="E39" s="58" cm="1">
        <f t="array" ref="E39">1*OR(row_id=income_header_row, row_id=expenses_header_row, row_id=savings_header_row)</f>
        <v>0</v>
      </c>
      <c r="F39" s="60">
        <f t="shared" si="1"/>
        <v>1</v>
      </c>
      <c r="G39" s="60" cm="1">
        <f t="array" ref="G39">1*OR(row_id=income_total_row, row_id=expenses_total_row, row_id=savings_total_row)</f>
        <v>0</v>
      </c>
      <c r="H39" s="59">
        <f t="shared" si="2"/>
        <v>0</v>
      </c>
      <c r="I39" s="58" t="str" cm="1">
        <f t="array" ref="I39">IFERROR(INDEX('Budget Planning'!$C:$C, header_row_id),"")</f>
        <v>Savings</v>
      </c>
      <c r="J39" s="60" t="str" cm="1">
        <f t="array" ref="J39">IFERROR(INDEX('Budget Planning'!$C:$C, row_id),"")</f>
        <v>Enter Savings Catergory</v>
      </c>
      <c r="K39" s="61" cm="1">
        <f t="array" ref="K39">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0</v>
      </c>
      <c r="L39" s="61" cm="1">
        <f t="array" ref="L39">IF(OR(is_header,is_empty),"",
   INDEX('Budget Planning'!$E:$EM, row_id,
        MATCH(IF(selected_period="Total Year", selected_year, DATE(selected_year, selected_period, 1)), 'Budget Planning'!$E$9:$EM$9, 0)))</f>
        <v>0</v>
      </c>
      <c r="M39" s="67" cm="1">
        <f t="array" ref="M39">IF(is_cat,
    IF(header_row_id=income_header_row,MATCH(income_min_row, $C:$C,0),
      IF(header_row_id=expenses_header_row,MATCH(expenses_min_row, $C:$C,0),
        IF(header_row_id=savings_header_row,MATCH(savings_min_row, $C:$C,0), ""))),"")</f>
        <v>33</v>
      </c>
      <c r="N39" s="68" cm="1">
        <f t="array" ref="N39">IF(is_cat,
    IF(header_row_id=income_header_row,MATCH(income_max_row, $C:$C,0),
      IF(header_row_id=expenses_header_row,MATCH(expenses_max_row, $C:$C,0),
        IF(header_row_id=savings_header_row,MATCH(savings_max_row, $C:$C,0), ""))),"")</f>
        <v>39</v>
      </c>
      <c r="O39" s="67" t="str">
        <f t="shared" si="3"/>
        <v>$K$33:$K$39</v>
      </c>
      <c r="P39" s="69">
        <f t="shared" ca="1" si="4"/>
        <v>2</v>
      </c>
      <c r="Q39" s="69" t="str">
        <f t="shared" si="5"/>
        <v>$L$33:$L$39</v>
      </c>
      <c r="R39" s="68">
        <f t="shared" ca="1" si="6"/>
        <v>1</v>
      </c>
      <c r="S39" s="67">
        <f t="shared" ca="1" si="7"/>
        <v>21</v>
      </c>
      <c r="T39" s="69" t="str">
        <f t="shared" si="8"/>
        <v>$S$33:$S$39</v>
      </c>
      <c r="U39" s="69">
        <f t="shared" ca="1" si="9"/>
        <v>2</v>
      </c>
      <c r="V39" s="69" t="str">
        <f t="shared" si="10"/>
        <v>$U$33:$U$39</v>
      </c>
      <c r="W39" s="68">
        <f t="shared" ca="1" si="11"/>
        <v>7</v>
      </c>
      <c r="X39" s="71">
        <f t="shared" ca="1" si="12"/>
        <v>42</v>
      </c>
      <c r="Y39" s="76" t="str">
        <f t="shared" ca="1" si="13"/>
        <v>Enter Savings Catergory</v>
      </c>
      <c r="Z39" s="78">
        <f t="shared" ca="1" si="14"/>
        <v>0</v>
      </c>
      <c r="AA39" s="78">
        <f t="shared" ca="1" si="15"/>
        <v>0</v>
      </c>
      <c r="AB39" s="77" t="str">
        <f t="shared" ca="1" si="18"/>
        <v>-</v>
      </c>
      <c r="AC39" s="94">
        <f t="shared" ca="1" si="16"/>
        <v>0</v>
      </c>
      <c r="AD39" s="94">
        <f t="shared" ca="1" si="17"/>
        <v>0</v>
      </c>
    </row>
    <row r="40" spans="3:44" x14ac:dyDescent="0.25">
      <c r="C40" s="58" cm="1">
        <f t="array" ref="C40">IF(C39=-1,-1,
    IF(C39&lt;income_max_row,C39+1,
       IF(C39=income_max_row, income_total_row,
         IF(C39=income_total_row, "/1",
           IF(C39="/1", expenses_header_row,
            IF(C39&lt;expenses_max_row, C39+1,
             IF(C39=expenses_max_row, expenses_total_row,
              IF(C39=expenses_total_row, "/2",
               IF(C39="/2", savings_header_row,
                 IF(C39&lt;savings_max_row, C39+1,
                  IF(C39=savings_max_row, savings_total_row, -1)))))))))))</f>
        <v>46</v>
      </c>
      <c r="D40" s="59">
        <f t="shared" si="0"/>
        <v>35</v>
      </c>
      <c r="E40" s="58" cm="1">
        <f t="array" ref="E40">1*OR(row_id=income_header_row, row_id=expenses_header_row, row_id=savings_header_row)</f>
        <v>0</v>
      </c>
      <c r="F40" s="60">
        <f t="shared" si="1"/>
        <v>0</v>
      </c>
      <c r="G40" s="60" cm="1">
        <f t="array" ref="G40">1*OR(row_id=income_total_row, row_id=expenses_total_row, row_id=savings_total_row)</f>
        <v>1</v>
      </c>
      <c r="H40" s="59">
        <f t="shared" si="2"/>
        <v>0</v>
      </c>
      <c r="I40" s="58" t="str" cm="1">
        <f t="array" ref="I40">IFERROR(INDEX('Budget Planning'!$C:$C, header_row_id),"")</f>
        <v>Savings</v>
      </c>
      <c r="J40" s="60" t="str" cm="1">
        <f t="array" ref="J40">IFERROR(INDEX('Budget Planning'!$C:$C, row_id),"")</f>
        <v>Total</v>
      </c>
      <c r="K40" s="61" cm="1">
        <f t="array" ref="K40">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100</v>
      </c>
      <c r="L40" s="61" cm="1">
        <f t="array" aca="1" ref="L40" ca="1">IF(OR(is_header,is_empty),"",
   INDEX('Budget Planning'!$E:$EM, row_id,
        MATCH(IF(selected_period="Total Year", selected_year, DATE(selected_year, selected_period, 1)), 'Budget Planning'!$E$9:$EM$9, 0)))</f>
        <v>0</v>
      </c>
      <c r="M40" s="67" t="str" cm="1">
        <f t="array" ref="M40">IF(is_cat,
    IF(header_row_id=income_header_row,MATCH(income_min_row, $C:$C,0),
      IF(header_row_id=expenses_header_row,MATCH(expenses_min_row, $C:$C,0),
        IF(header_row_id=savings_header_row,MATCH(savings_min_row, $C:$C,0), ""))),"")</f>
        <v/>
      </c>
      <c r="N40" s="68" t="str" cm="1">
        <f t="array" ref="N40">IF(is_cat,
    IF(header_row_id=income_header_row,MATCH(income_max_row, $C:$C,0),
      IF(header_row_id=expenses_header_row,MATCH(expenses_max_row, $C:$C,0),
        IF(header_row_id=savings_header_row,MATCH(savings_max_row, $C:$C,0), ""))),"")</f>
        <v/>
      </c>
      <c r="O40" s="67" t="str">
        <f t="shared" si="3"/>
        <v/>
      </c>
      <c r="P40" s="69" t="str">
        <f t="shared" ca="1" si="4"/>
        <v/>
      </c>
      <c r="Q40" s="69" t="str">
        <f t="shared" si="5"/>
        <v/>
      </c>
      <c r="R40" s="68" t="str">
        <f t="shared" ca="1" si="6"/>
        <v/>
      </c>
      <c r="S40" s="67" t="str">
        <f t="shared" si="7"/>
        <v/>
      </c>
      <c r="T40" s="69" t="str">
        <f t="shared" si="8"/>
        <v/>
      </c>
      <c r="U40" s="69" t="str">
        <f t="shared" ca="1" si="9"/>
        <v/>
      </c>
      <c r="V40" s="69" t="str">
        <f t="shared" si="10"/>
        <v/>
      </c>
      <c r="W40" s="68" t="str">
        <f t="shared" ca="1" si="11"/>
        <v/>
      </c>
      <c r="X40" s="71">
        <f t="shared" si="12"/>
        <v>46</v>
      </c>
      <c r="Y40" s="76" t="str">
        <f t="shared" ca="1" si="13"/>
        <v>Total</v>
      </c>
      <c r="Z40" s="78">
        <f t="shared" ca="1" si="14"/>
        <v>100</v>
      </c>
      <c r="AA40" s="78">
        <f t="shared" ca="1" si="15"/>
        <v>0</v>
      </c>
      <c r="AB40" s="77" t="str">
        <f t="shared" ca="1" si="18"/>
        <v>-</v>
      </c>
      <c r="AC40" s="94">
        <f t="shared" ca="1" si="16"/>
        <v>0</v>
      </c>
      <c r="AD40" s="94">
        <f t="shared" ca="1" si="17"/>
        <v>100</v>
      </c>
    </row>
    <row r="41" spans="3:44" x14ac:dyDescent="0.25">
      <c r="C41" s="58" cm="1">
        <f t="array" ref="C41">IF(C40=-1,-1,
    IF(C40&lt;income_max_row,C40+1,
       IF(C40=income_max_row, income_total_row,
         IF(C40=income_total_row, "/1",
           IF(C40="/1", expenses_header_row,
            IF(C40&lt;expenses_max_row, C40+1,
             IF(C40=expenses_max_row, expenses_total_row,
              IF(C40=expenses_total_row, "/2",
               IF(C40="/2", savings_header_row,
                 IF(C40&lt;savings_max_row, C40+1,
                  IF(C40=savings_max_row, savings_total_row, -1)))))))))))</f>
        <v>-1</v>
      </c>
      <c r="D41" s="59">
        <f t="shared" si="0"/>
        <v>-1</v>
      </c>
      <c r="E41" s="58" cm="1">
        <f t="array" ref="E41">1*OR(row_id=income_header_row, row_id=expenses_header_row, row_id=savings_header_row)</f>
        <v>0</v>
      </c>
      <c r="F41" s="60">
        <f t="shared" si="1"/>
        <v>0</v>
      </c>
      <c r="G41" s="60" cm="1">
        <f t="array" ref="G41">1*OR(row_id=income_total_row, row_id=expenses_total_row, row_id=savings_total_row)</f>
        <v>0</v>
      </c>
      <c r="H41" s="59">
        <f t="shared" si="2"/>
        <v>1</v>
      </c>
      <c r="I41" s="58" t="str" cm="1">
        <f t="array" ref="I41">IFERROR(INDEX('Budget Planning'!$C:$C, header_row_id),"")</f>
        <v/>
      </c>
      <c r="J41" s="60" t="str" cm="1">
        <f t="array" ref="J41">IFERROR(INDEX('Budget Planning'!$C:$C, row_id),"")</f>
        <v/>
      </c>
      <c r="K41" s="61" t="str" cm="1">
        <f t="array" ref="K41">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41" s="61" t="str" cm="1">
        <f t="array" ref="L41">IF(OR(is_header,is_empty),"",
   INDEX('Budget Planning'!$E:$EM, row_id,
        MATCH(IF(selected_period="Total Year", selected_year, DATE(selected_year, selected_period, 1)), 'Budget Planning'!$E$9:$EM$9, 0)))</f>
        <v/>
      </c>
      <c r="M41" s="67" t="str" cm="1">
        <f t="array" ref="M41">IF(is_cat,
    IF(header_row_id=income_header_row,MATCH(income_min_row, $C:$C,0),
      IF(header_row_id=expenses_header_row,MATCH(expenses_min_row, $C:$C,0),
        IF(header_row_id=savings_header_row,MATCH(savings_min_row, $C:$C,0), ""))),"")</f>
        <v/>
      </c>
      <c r="N41" s="68" t="str" cm="1">
        <f t="array" ref="N41">IF(is_cat,
    IF(header_row_id=income_header_row,MATCH(income_max_row, $C:$C,0),
      IF(header_row_id=expenses_header_row,MATCH(expenses_max_row, $C:$C,0),
        IF(header_row_id=savings_header_row,MATCH(savings_max_row, $C:$C,0), ""))),"")</f>
        <v/>
      </c>
      <c r="O41" s="67" t="str">
        <f t="shared" si="3"/>
        <v/>
      </c>
      <c r="P41" s="69" t="str">
        <f t="shared" ca="1" si="4"/>
        <v/>
      </c>
      <c r="Q41" s="69" t="str">
        <f t="shared" si="5"/>
        <v/>
      </c>
      <c r="R41" s="68" t="str">
        <f t="shared" ca="1" si="6"/>
        <v/>
      </c>
      <c r="S41" s="67" t="str">
        <f t="shared" si="7"/>
        <v/>
      </c>
      <c r="T41" s="69" t="str">
        <f t="shared" si="8"/>
        <v/>
      </c>
      <c r="U41" s="69" t="str">
        <f t="shared" ca="1" si="9"/>
        <v/>
      </c>
      <c r="V41" s="69" t="str">
        <f t="shared" si="10"/>
        <v/>
      </c>
      <c r="W41" s="68" t="str">
        <f t="shared" ca="1" si="11"/>
        <v/>
      </c>
      <c r="X41" s="71">
        <f t="shared" si="12"/>
        <v>-1</v>
      </c>
      <c r="Y41" s="76" t="str">
        <f t="shared" si="13"/>
        <v/>
      </c>
      <c r="Z41" s="78" t="str">
        <f t="shared" si="14"/>
        <v/>
      </c>
      <c r="AA41" s="78" t="str">
        <f t="shared" si="15"/>
        <v/>
      </c>
      <c r="AB41" s="77" t="str">
        <f t="shared" si="18"/>
        <v/>
      </c>
      <c r="AC41" s="94" t="str">
        <f t="shared" si="16"/>
        <v/>
      </c>
      <c r="AD41" s="94" t="str">
        <f t="shared" si="17"/>
        <v/>
      </c>
    </row>
    <row r="42" spans="3:44" x14ac:dyDescent="0.25">
      <c r="C42" s="58" cm="1">
        <f t="array" ref="C42">IF(C41=-1,-1,
    IF(C41&lt;income_max_row,C41+1,
       IF(C41=income_max_row, income_total_row,
         IF(C41=income_total_row, "/1",
           IF(C41="/1", expenses_header_row,
            IF(C41&lt;expenses_max_row, C41+1,
             IF(C41=expenses_max_row, expenses_total_row,
              IF(C41=expenses_total_row, "/2",
               IF(C41="/2", savings_header_row,
                 IF(C41&lt;savings_max_row, C41+1,
                  IF(C41=savings_max_row, savings_total_row, -1)))))))))))</f>
        <v>-1</v>
      </c>
      <c r="D42" s="59">
        <f t="shared" si="0"/>
        <v>-1</v>
      </c>
      <c r="E42" s="58" cm="1">
        <f t="array" ref="E42">1*OR(row_id=income_header_row, row_id=expenses_header_row, row_id=savings_header_row)</f>
        <v>0</v>
      </c>
      <c r="F42" s="60">
        <f t="shared" si="1"/>
        <v>0</v>
      </c>
      <c r="G42" s="60" cm="1">
        <f t="array" ref="G42">1*OR(row_id=income_total_row, row_id=expenses_total_row, row_id=savings_total_row)</f>
        <v>0</v>
      </c>
      <c r="H42" s="59">
        <f t="shared" si="2"/>
        <v>1</v>
      </c>
      <c r="I42" s="58" t="str" cm="1">
        <f t="array" ref="I42">IFERROR(INDEX('Budget Planning'!$C:$C, header_row_id),"")</f>
        <v/>
      </c>
      <c r="J42" s="60" t="str" cm="1">
        <f t="array" ref="J42">IFERROR(INDEX('Budget Planning'!$C:$C, row_id),"")</f>
        <v/>
      </c>
      <c r="K42" s="61" t="str" cm="1">
        <f t="array" ref="K42">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42" s="61" t="str" cm="1">
        <f t="array" ref="L42">IF(OR(is_header,is_empty),"",
   INDEX('Budget Planning'!$E:$EM, row_id,
        MATCH(IF(selected_period="Total Year", selected_year, DATE(selected_year, selected_period, 1)), 'Budget Planning'!$E$9:$EM$9, 0)))</f>
        <v/>
      </c>
      <c r="M42" s="67" t="str" cm="1">
        <f t="array" ref="M42">IF(is_cat,
    IF(header_row_id=income_header_row,MATCH(income_min_row, $C:$C,0),
      IF(header_row_id=expenses_header_row,MATCH(expenses_min_row, $C:$C,0),
        IF(header_row_id=savings_header_row,MATCH(savings_min_row, $C:$C,0), ""))),"")</f>
        <v/>
      </c>
      <c r="N42" s="68" t="str" cm="1">
        <f t="array" ref="N42">IF(is_cat,
    IF(header_row_id=income_header_row,MATCH(income_max_row, $C:$C,0),
      IF(header_row_id=expenses_header_row,MATCH(expenses_max_row, $C:$C,0),
        IF(header_row_id=savings_header_row,MATCH(savings_max_row, $C:$C,0), ""))),"")</f>
        <v/>
      </c>
      <c r="O42" s="67" t="str">
        <f t="shared" si="3"/>
        <v/>
      </c>
      <c r="P42" s="69" t="str">
        <f t="shared" ca="1" si="4"/>
        <v/>
      </c>
      <c r="Q42" s="69" t="str">
        <f t="shared" si="5"/>
        <v/>
      </c>
      <c r="R42" s="68" t="str">
        <f t="shared" ca="1" si="6"/>
        <v/>
      </c>
      <c r="S42" s="67" t="str">
        <f t="shared" si="7"/>
        <v/>
      </c>
      <c r="T42" s="69" t="str">
        <f t="shared" si="8"/>
        <v/>
      </c>
      <c r="U42" s="69" t="str">
        <f t="shared" ca="1" si="9"/>
        <v/>
      </c>
      <c r="V42" s="69" t="str">
        <f t="shared" si="10"/>
        <v/>
      </c>
      <c r="W42" s="68" t="str">
        <f t="shared" ca="1" si="11"/>
        <v/>
      </c>
      <c r="X42" s="71">
        <f t="shared" si="12"/>
        <v>-1</v>
      </c>
      <c r="Y42" s="76" t="str">
        <f t="shared" si="13"/>
        <v/>
      </c>
      <c r="Z42" s="78" t="str">
        <f t="shared" si="14"/>
        <v/>
      </c>
      <c r="AA42" s="78" t="str">
        <f t="shared" si="15"/>
        <v/>
      </c>
      <c r="AB42" s="77" t="str">
        <f t="shared" si="18"/>
        <v/>
      </c>
      <c r="AC42" s="94" t="str">
        <f t="shared" si="16"/>
        <v/>
      </c>
      <c r="AD42" s="94" t="str">
        <f t="shared" si="17"/>
        <v/>
      </c>
    </row>
    <row r="43" spans="3:44" x14ac:dyDescent="0.25">
      <c r="C43" s="58" cm="1">
        <f t="array" ref="C43">IF(C42=-1,-1,
    IF(C42&lt;income_max_row,C42+1,
       IF(C42=income_max_row, income_total_row,
         IF(C42=income_total_row, "/1",
           IF(C42="/1", expenses_header_row,
            IF(C42&lt;expenses_max_row, C42+1,
             IF(C42=expenses_max_row, expenses_total_row,
              IF(C42=expenses_total_row, "/2",
               IF(C42="/2", savings_header_row,
                 IF(C42&lt;savings_max_row, C42+1,
                  IF(C42=savings_max_row, savings_total_row, -1)))))))))))</f>
        <v>-1</v>
      </c>
      <c r="D43" s="59">
        <f t="shared" si="0"/>
        <v>-1</v>
      </c>
      <c r="E43" s="58" cm="1">
        <f t="array" ref="E43">1*OR(row_id=income_header_row, row_id=expenses_header_row, row_id=savings_header_row)</f>
        <v>0</v>
      </c>
      <c r="F43" s="60">
        <f t="shared" si="1"/>
        <v>0</v>
      </c>
      <c r="G43" s="60" cm="1">
        <f t="array" ref="G43">1*OR(row_id=income_total_row, row_id=expenses_total_row, row_id=savings_total_row)</f>
        <v>0</v>
      </c>
      <c r="H43" s="59">
        <f t="shared" si="2"/>
        <v>1</v>
      </c>
      <c r="I43" s="58" t="str" cm="1">
        <f t="array" ref="I43">IFERROR(INDEX('Budget Planning'!$C:$C, header_row_id),"")</f>
        <v/>
      </c>
      <c r="J43" s="60" t="str" cm="1">
        <f t="array" ref="J43">IFERROR(INDEX('Budget Planning'!$C:$C, row_id),"")</f>
        <v/>
      </c>
      <c r="K43" s="61" t="str" cm="1">
        <f t="array" ref="K43">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43" s="61" t="str" cm="1">
        <f t="array" ref="L43">IF(OR(is_header,is_empty),"",
   INDEX('Budget Planning'!$E:$EM, row_id,
        MATCH(IF(selected_period="Total Year", selected_year, DATE(selected_year, selected_period, 1)), 'Budget Planning'!$E$9:$EM$9, 0)))</f>
        <v/>
      </c>
      <c r="M43" s="67" t="str" cm="1">
        <f t="array" ref="M43">IF(is_cat,
    IF(header_row_id=income_header_row,MATCH(income_min_row, $C:$C,0),
      IF(header_row_id=expenses_header_row,MATCH(expenses_min_row, $C:$C,0),
        IF(header_row_id=savings_header_row,MATCH(savings_min_row, $C:$C,0), ""))),"")</f>
        <v/>
      </c>
      <c r="N43" s="68" t="str" cm="1">
        <f t="array" ref="N43">IF(is_cat,
    IF(header_row_id=income_header_row,MATCH(income_max_row, $C:$C,0),
      IF(header_row_id=expenses_header_row,MATCH(expenses_max_row, $C:$C,0),
        IF(header_row_id=savings_header_row,MATCH(savings_max_row, $C:$C,0), ""))),"")</f>
        <v/>
      </c>
      <c r="O43" s="67" t="str">
        <f t="shared" si="3"/>
        <v/>
      </c>
      <c r="P43" s="69" t="str">
        <f t="shared" ca="1" si="4"/>
        <v/>
      </c>
      <c r="Q43" s="69" t="str">
        <f t="shared" si="5"/>
        <v/>
      </c>
      <c r="R43" s="68" t="str">
        <f t="shared" ca="1" si="6"/>
        <v/>
      </c>
      <c r="S43" s="67" t="str">
        <f t="shared" si="7"/>
        <v/>
      </c>
      <c r="T43" s="69" t="str">
        <f t="shared" si="8"/>
        <v/>
      </c>
      <c r="U43" s="69" t="str">
        <f t="shared" ca="1" si="9"/>
        <v/>
      </c>
      <c r="V43" s="69" t="str">
        <f t="shared" si="10"/>
        <v/>
      </c>
      <c r="W43" s="68" t="str">
        <f t="shared" ca="1" si="11"/>
        <v/>
      </c>
      <c r="X43" s="71">
        <f t="shared" si="12"/>
        <v>-1</v>
      </c>
      <c r="Y43" s="76" t="str">
        <f t="shared" si="13"/>
        <v/>
      </c>
      <c r="Z43" s="78" t="str">
        <f t="shared" si="14"/>
        <v/>
      </c>
      <c r="AA43" s="78" t="str">
        <f t="shared" si="15"/>
        <v/>
      </c>
      <c r="AB43" s="77" t="str">
        <f t="shared" si="18"/>
        <v/>
      </c>
      <c r="AC43" s="94" t="str">
        <f t="shared" si="16"/>
        <v/>
      </c>
      <c r="AD43" s="94" t="str">
        <f t="shared" si="17"/>
        <v/>
      </c>
    </row>
    <row r="44" spans="3:44" x14ac:dyDescent="0.25">
      <c r="C44" s="58" cm="1">
        <f t="array" ref="C44">IF(C43=-1,-1,
    IF(C43&lt;income_max_row,C43+1,
       IF(C43=income_max_row, income_total_row,
         IF(C43=income_total_row, "/1",
           IF(C43="/1", expenses_header_row,
            IF(C43&lt;expenses_max_row, C43+1,
             IF(C43=expenses_max_row, expenses_total_row,
              IF(C43=expenses_total_row, "/2",
               IF(C43="/2", savings_header_row,
                 IF(C43&lt;savings_max_row, C43+1,
                  IF(C43=savings_max_row, savings_total_row, -1)))))))))))</f>
        <v>-1</v>
      </c>
      <c r="D44" s="59">
        <f t="shared" si="0"/>
        <v>-1</v>
      </c>
      <c r="E44" s="58" cm="1">
        <f t="array" ref="E44">1*OR(row_id=income_header_row, row_id=expenses_header_row, row_id=savings_header_row)</f>
        <v>0</v>
      </c>
      <c r="F44" s="60">
        <f t="shared" si="1"/>
        <v>0</v>
      </c>
      <c r="G44" s="60" cm="1">
        <f t="array" ref="G44">1*OR(row_id=income_total_row, row_id=expenses_total_row, row_id=savings_total_row)</f>
        <v>0</v>
      </c>
      <c r="H44" s="59">
        <f t="shared" si="2"/>
        <v>1</v>
      </c>
      <c r="I44" s="58" t="str" cm="1">
        <f t="array" ref="I44">IFERROR(INDEX('Budget Planning'!$C:$C, header_row_id),"")</f>
        <v/>
      </c>
      <c r="J44" s="60" t="str" cm="1">
        <f t="array" ref="J44">IFERROR(INDEX('Budget Planning'!$C:$C, row_id),"")</f>
        <v/>
      </c>
      <c r="K44" s="61" t="str" cm="1">
        <f t="array" ref="K44">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44" s="61" t="str" cm="1">
        <f t="array" ref="L44">IF(OR(is_header,is_empty),"",
   INDEX('Budget Planning'!$E:$EM, row_id,
        MATCH(IF(selected_period="Total Year", selected_year, DATE(selected_year, selected_period, 1)), 'Budget Planning'!$E$9:$EM$9, 0)))</f>
        <v/>
      </c>
      <c r="M44" s="67" t="str" cm="1">
        <f t="array" ref="M44">IF(is_cat,
    IF(header_row_id=income_header_row,MATCH(income_min_row, $C:$C,0),
      IF(header_row_id=expenses_header_row,MATCH(expenses_min_row, $C:$C,0),
        IF(header_row_id=savings_header_row,MATCH(savings_min_row, $C:$C,0), ""))),"")</f>
        <v/>
      </c>
      <c r="N44" s="68" t="str" cm="1">
        <f t="array" ref="N44">IF(is_cat,
    IF(header_row_id=income_header_row,MATCH(income_max_row, $C:$C,0),
      IF(header_row_id=expenses_header_row,MATCH(expenses_max_row, $C:$C,0),
        IF(header_row_id=savings_header_row,MATCH(savings_max_row, $C:$C,0), ""))),"")</f>
        <v/>
      </c>
      <c r="O44" s="67" t="str">
        <f t="shared" si="3"/>
        <v/>
      </c>
      <c r="P44" s="69" t="str">
        <f t="shared" ca="1" si="4"/>
        <v/>
      </c>
      <c r="Q44" s="69" t="str">
        <f t="shared" si="5"/>
        <v/>
      </c>
      <c r="R44" s="68" t="str">
        <f t="shared" ca="1" si="6"/>
        <v/>
      </c>
      <c r="S44" s="67" t="str">
        <f t="shared" si="7"/>
        <v/>
      </c>
      <c r="T44" s="69" t="str">
        <f t="shared" si="8"/>
        <v/>
      </c>
      <c r="U44" s="69" t="str">
        <f t="shared" ca="1" si="9"/>
        <v/>
      </c>
      <c r="V44" s="69" t="str">
        <f t="shared" si="10"/>
        <v/>
      </c>
      <c r="W44" s="68" t="str">
        <f t="shared" ca="1" si="11"/>
        <v/>
      </c>
      <c r="X44" s="71">
        <f t="shared" si="12"/>
        <v>-1</v>
      </c>
      <c r="Y44" s="76" t="str">
        <f t="shared" si="13"/>
        <v/>
      </c>
      <c r="Z44" s="78" t="str">
        <f t="shared" si="14"/>
        <v/>
      </c>
      <c r="AA44" s="78" t="str">
        <f t="shared" si="15"/>
        <v/>
      </c>
      <c r="AB44" s="77" t="str">
        <f t="shared" si="18"/>
        <v/>
      </c>
      <c r="AC44" s="94" t="str">
        <f t="shared" si="16"/>
        <v/>
      </c>
      <c r="AD44" s="94" t="str">
        <f t="shared" si="17"/>
        <v/>
      </c>
    </row>
    <row r="45" spans="3:44" x14ac:dyDescent="0.25">
      <c r="C45" s="58" cm="1">
        <f t="array" ref="C45">IF(C44=-1,-1,
    IF(C44&lt;income_max_row,C44+1,
       IF(C44=income_max_row, income_total_row,
         IF(C44=income_total_row, "/1",
           IF(C44="/1", expenses_header_row,
            IF(C44&lt;expenses_max_row, C44+1,
             IF(C44=expenses_max_row, expenses_total_row,
              IF(C44=expenses_total_row, "/2",
               IF(C44="/2", savings_header_row,
                 IF(C44&lt;savings_max_row, C44+1,
                  IF(C44=savings_max_row, savings_total_row, -1)))))))))))</f>
        <v>-1</v>
      </c>
      <c r="D45" s="59">
        <f t="shared" si="0"/>
        <v>-1</v>
      </c>
      <c r="E45" s="58" cm="1">
        <f t="array" ref="E45">1*OR(row_id=income_header_row, row_id=expenses_header_row, row_id=savings_header_row)</f>
        <v>0</v>
      </c>
      <c r="F45" s="60">
        <f t="shared" si="1"/>
        <v>0</v>
      </c>
      <c r="G45" s="60" cm="1">
        <f t="array" ref="G45">1*OR(row_id=income_total_row, row_id=expenses_total_row, row_id=savings_total_row)</f>
        <v>0</v>
      </c>
      <c r="H45" s="59">
        <f t="shared" si="2"/>
        <v>1</v>
      </c>
      <c r="I45" s="58" t="str" cm="1">
        <f t="array" ref="I45">IFERROR(INDEX('Budget Planning'!$C:$C, header_row_id),"")</f>
        <v/>
      </c>
      <c r="J45" s="60" t="str" cm="1">
        <f t="array" ref="J45">IFERROR(INDEX('Budget Planning'!$C:$C, row_id),"")</f>
        <v/>
      </c>
      <c r="K45" s="61" t="str" cm="1">
        <f t="array" ref="K45">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45" s="61" t="str" cm="1">
        <f t="array" ref="L45">IF(OR(is_header,is_empty),"",
   INDEX('Budget Planning'!$E:$EM, row_id,
        MATCH(IF(selected_period="Total Year", selected_year, DATE(selected_year, selected_period, 1)), 'Budget Planning'!$E$9:$EM$9, 0)))</f>
        <v/>
      </c>
      <c r="M45" s="67" t="str" cm="1">
        <f t="array" ref="M45">IF(is_cat,
    IF(header_row_id=income_header_row,MATCH(income_min_row, $C:$C,0),
      IF(header_row_id=expenses_header_row,MATCH(expenses_min_row, $C:$C,0),
        IF(header_row_id=savings_header_row,MATCH(savings_min_row, $C:$C,0), ""))),"")</f>
        <v/>
      </c>
      <c r="N45" s="68" t="str" cm="1">
        <f t="array" ref="N45">IF(is_cat,
    IF(header_row_id=income_header_row,MATCH(income_max_row, $C:$C,0),
      IF(header_row_id=expenses_header_row,MATCH(expenses_max_row, $C:$C,0),
        IF(header_row_id=savings_header_row,MATCH(savings_max_row, $C:$C,0), ""))),"")</f>
        <v/>
      </c>
      <c r="O45" s="67" t="str">
        <f t="shared" si="3"/>
        <v/>
      </c>
      <c r="P45" s="69" t="str">
        <f t="shared" ca="1" si="4"/>
        <v/>
      </c>
      <c r="Q45" s="69" t="str">
        <f t="shared" si="5"/>
        <v/>
      </c>
      <c r="R45" s="68" t="str">
        <f t="shared" ca="1" si="6"/>
        <v/>
      </c>
      <c r="S45" s="67" t="str">
        <f t="shared" si="7"/>
        <v/>
      </c>
      <c r="T45" s="69" t="str">
        <f t="shared" si="8"/>
        <v/>
      </c>
      <c r="U45" s="69" t="str">
        <f t="shared" ca="1" si="9"/>
        <v/>
      </c>
      <c r="V45" s="69" t="str">
        <f t="shared" si="10"/>
        <v/>
      </c>
      <c r="W45" s="68" t="str">
        <f t="shared" ca="1" si="11"/>
        <v/>
      </c>
      <c r="X45" s="71">
        <f t="shared" si="12"/>
        <v>-1</v>
      </c>
      <c r="Y45" s="76" t="str">
        <f t="shared" si="13"/>
        <v/>
      </c>
      <c r="Z45" s="78" t="str">
        <f t="shared" si="14"/>
        <v/>
      </c>
      <c r="AA45" s="78" t="str">
        <f t="shared" si="15"/>
        <v/>
      </c>
      <c r="AB45" s="77" t="str">
        <f t="shared" si="18"/>
        <v/>
      </c>
      <c r="AC45" s="94" t="str">
        <f t="shared" si="16"/>
        <v/>
      </c>
      <c r="AD45" s="94" t="str">
        <f t="shared" si="17"/>
        <v/>
      </c>
    </row>
    <row r="46" spans="3:44" x14ac:dyDescent="0.25">
      <c r="C46" s="58" cm="1">
        <f t="array" ref="C46">IF(C45=-1,-1,
    IF(C45&lt;income_max_row,C45+1,
       IF(C45=income_max_row, income_total_row,
         IF(C45=income_total_row, "/1",
           IF(C45="/1", expenses_header_row,
            IF(C45&lt;expenses_max_row, C45+1,
             IF(C45=expenses_max_row, expenses_total_row,
              IF(C45=expenses_total_row, "/2",
               IF(C45="/2", savings_header_row,
                 IF(C45&lt;savings_max_row, C45+1,
                  IF(C45=savings_max_row, savings_total_row, -1)))))))))))</f>
        <v>-1</v>
      </c>
      <c r="D46" s="59">
        <f t="shared" si="0"/>
        <v>-1</v>
      </c>
      <c r="E46" s="58" cm="1">
        <f t="array" ref="E46">1*OR(row_id=income_header_row, row_id=expenses_header_row, row_id=savings_header_row)</f>
        <v>0</v>
      </c>
      <c r="F46" s="60">
        <f t="shared" si="1"/>
        <v>0</v>
      </c>
      <c r="G46" s="60" cm="1">
        <f t="array" ref="G46">1*OR(row_id=income_total_row, row_id=expenses_total_row, row_id=savings_total_row)</f>
        <v>0</v>
      </c>
      <c r="H46" s="59">
        <f t="shared" si="2"/>
        <v>1</v>
      </c>
      <c r="I46" s="58" t="str" cm="1">
        <f t="array" ref="I46">IFERROR(INDEX('Budget Planning'!$C:$C, header_row_id),"")</f>
        <v/>
      </c>
      <c r="J46" s="60" t="str" cm="1">
        <f t="array" ref="J46">IFERROR(INDEX('Budget Planning'!$C:$C, row_id),"")</f>
        <v/>
      </c>
      <c r="K46" s="61" t="str" cm="1">
        <f t="array" ref="K46">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46" s="61" t="str" cm="1">
        <f t="array" ref="L46">IF(OR(is_header,is_empty),"",
   INDEX('Budget Planning'!$E:$EM, row_id,
        MATCH(IF(selected_period="Total Year", selected_year, DATE(selected_year, selected_period, 1)), 'Budget Planning'!$E$9:$EM$9, 0)))</f>
        <v/>
      </c>
      <c r="M46" s="67" t="str" cm="1">
        <f t="array" ref="M46">IF(is_cat,
    IF(header_row_id=income_header_row,MATCH(income_min_row, $C:$C,0),
      IF(header_row_id=expenses_header_row,MATCH(expenses_min_row, $C:$C,0),
        IF(header_row_id=savings_header_row,MATCH(savings_min_row, $C:$C,0), ""))),"")</f>
        <v/>
      </c>
      <c r="N46" s="68" t="str" cm="1">
        <f t="array" ref="N46">IF(is_cat,
    IF(header_row_id=income_header_row,MATCH(income_max_row, $C:$C,0),
      IF(header_row_id=expenses_header_row,MATCH(expenses_max_row, $C:$C,0),
        IF(header_row_id=savings_header_row,MATCH(savings_max_row, $C:$C,0), ""))),"")</f>
        <v/>
      </c>
      <c r="O46" s="67" t="str">
        <f t="shared" si="3"/>
        <v/>
      </c>
      <c r="P46" s="69" t="str">
        <f t="shared" ca="1" si="4"/>
        <v/>
      </c>
      <c r="Q46" s="69" t="str">
        <f t="shared" si="5"/>
        <v/>
      </c>
      <c r="R46" s="68" t="str">
        <f t="shared" ca="1" si="6"/>
        <v/>
      </c>
      <c r="S46" s="67" t="str">
        <f t="shared" si="7"/>
        <v/>
      </c>
      <c r="T46" s="69" t="str">
        <f t="shared" si="8"/>
        <v/>
      </c>
      <c r="U46" s="69" t="str">
        <f t="shared" ca="1" si="9"/>
        <v/>
      </c>
      <c r="V46" s="69" t="str">
        <f t="shared" si="10"/>
        <v/>
      </c>
      <c r="W46" s="68" t="str">
        <f t="shared" ca="1" si="11"/>
        <v/>
      </c>
      <c r="X46" s="71">
        <f t="shared" si="12"/>
        <v>-1</v>
      </c>
      <c r="Y46" s="76" t="str">
        <f t="shared" si="13"/>
        <v/>
      </c>
      <c r="Z46" s="78" t="str">
        <f t="shared" si="14"/>
        <v/>
      </c>
      <c r="AA46" s="78" t="str">
        <f t="shared" si="15"/>
        <v/>
      </c>
      <c r="AB46" s="77" t="str">
        <f t="shared" si="18"/>
        <v/>
      </c>
      <c r="AC46" s="94" t="str">
        <f t="shared" si="16"/>
        <v/>
      </c>
      <c r="AD46" s="94" t="str">
        <f t="shared" si="17"/>
        <v/>
      </c>
    </row>
    <row r="47" spans="3:44" x14ac:dyDescent="0.25">
      <c r="C47" s="58" cm="1">
        <f t="array" ref="C47">IF(C46=-1,-1,
    IF(C46&lt;income_max_row,C46+1,
       IF(C46=income_max_row, income_total_row,
         IF(C46=income_total_row, "/1",
           IF(C46="/1", expenses_header_row,
            IF(C46&lt;expenses_max_row, C46+1,
             IF(C46=expenses_max_row, expenses_total_row,
              IF(C46=expenses_total_row, "/2",
               IF(C46="/2", savings_header_row,
                 IF(C46&lt;savings_max_row, C46+1,
                  IF(C46=savings_max_row, savings_total_row, -1)))))))))))</f>
        <v>-1</v>
      </c>
      <c r="D47" s="59">
        <f t="shared" si="0"/>
        <v>-1</v>
      </c>
      <c r="E47" s="58" cm="1">
        <f t="array" ref="E47">1*OR(row_id=income_header_row, row_id=expenses_header_row, row_id=savings_header_row)</f>
        <v>0</v>
      </c>
      <c r="F47" s="60">
        <f t="shared" si="1"/>
        <v>0</v>
      </c>
      <c r="G47" s="60" cm="1">
        <f t="array" ref="G47">1*OR(row_id=income_total_row, row_id=expenses_total_row, row_id=savings_total_row)</f>
        <v>0</v>
      </c>
      <c r="H47" s="59">
        <f t="shared" si="2"/>
        <v>1</v>
      </c>
      <c r="I47" s="58" t="str" cm="1">
        <f t="array" ref="I47">IFERROR(INDEX('Budget Planning'!$C:$C, header_row_id),"")</f>
        <v/>
      </c>
      <c r="J47" s="60" t="str" cm="1">
        <f t="array" ref="J47">IFERROR(INDEX('Budget Planning'!$C:$C, row_id),"")</f>
        <v/>
      </c>
      <c r="K47" s="61" t="str" cm="1">
        <f t="array" ref="K47">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47" s="61" t="str" cm="1">
        <f t="array" ref="L47">IF(OR(is_header,is_empty),"",
   INDEX('Budget Planning'!$E:$EM, row_id,
        MATCH(IF(selected_period="Total Year", selected_year, DATE(selected_year, selected_period, 1)), 'Budget Planning'!$E$9:$EM$9, 0)))</f>
        <v/>
      </c>
      <c r="M47" s="67" t="str" cm="1">
        <f t="array" ref="M47">IF(is_cat,
    IF(header_row_id=income_header_row,MATCH(income_min_row, $C:$C,0),
      IF(header_row_id=expenses_header_row,MATCH(expenses_min_row, $C:$C,0),
        IF(header_row_id=savings_header_row,MATCH(savings_min_row, $C:$C,0), ""))),"")</f>
        <v/>
      </c>
      <c r="N47" s="68" t="str" cm="1">
        <f t="array" ref="N47">IF(is_cat,
    IF(header_row_id=income_header_row,MATCH(income_max_row, $C:$C,0),
      IF(header_row_id=expenses_header_row,MATCH(expenses_max_row, $C:$C,0),
        IF(header_row_id=savings_header_row,MATCH(savings_max_row, $C:$C,0), ""))),"")</f>
        <v/>
      </c>
      <c r="O47" s="67" t="str">
        <f t="shared" si="3"/>
        <v/>
      </c>
      <c r="P47" s="69" t="str">
        <f t="shared" ca="1" si="4"/>
        <v/>
      </c>
      <c r="Q47" s="69" t="str">
        <f t="shared" si="5"/>
        <v/>
      </c>
      <c r="R47" s="68" t="str">
        <f t="shared" ca="1" si="6"/>
        <v/>
      </c>
      <c r="S47" s="67" t="str">
        <f t="shared" si="7"/>
        <v/>
      </c>
      <c r="T47" s="69" t="str">
        <f t="shared" si="8"/>
        <v/>
      </c>
      <c r="U47" s="69" t="str">
        <f t="shared" ca="1" si="9"/>
        <v/>
      </c>
      <c r="V47" s="69" t="str">
        <f t="shared" si="10"/>
        <v/>
      </c>
      <c r="W47" s="68" t="str">
        <f t="shared" ca="1" si="11"/>
        <v/>
      </c>
      <c r="X47" s="71">
        <f t="shared" si="12"/>
        <v>-1</v>
      </c>
      <c r="Y47" s="76" t="str">
        <f t="shared" si="13"/>
        <v/>
      </c>
      <c r="Z47" s="78" t="str">
        <f t="shared" si="14"/>
        <v/>
      </c>
      <c r="AA47" s="78" t="str">
        <f t="shared" si="15"/>
        <v/>
      </c>
      <c r="AB47" s="77" t="str">
        <f t="shared" si="18"/>
        <v/>
      </c>
      <c r="AC47" s="94" t="str">
        <f t="shared" si="16"/>
        <v/>
      </c>
      <c r="AD47" s="94" t="str">
        <f t="shared" si="17"/>
        <v/>
      </c>
    </row>
    <row r="48" spans="3:44" x14ac:dyDescent="0.25">
      <c r="C48" s="58" cm="1">
        <f t="array" ref="C48">IF(C47=-1,-1,
    IF(C47&lt;income_max_row,C47+1,
       IF(C47=income_max_row, income_total_row,
         IF(C47=income_total_row, "/1",
           IF(C47="/1", expenses_header_row,
            IF(C47&lt;expenses_max_row, C47+1,
             IF(C47=expenses_max_row, expenses_total_row,
              IF(C47=expenses_total_row, "/2",
               IF(C47="/2", savings_header_row,
                 IF(C47&lt;savings_max_row, C47+1,
                  IF(C47=savings_max_row, savings_total_row, -1)))))))))))</f>
        <v>-1</v>
      </c>
      <c r="D48" s="59">
        <f t="shared" si="0"/>
        <v>-1</v>
      </c>
      <c r="E48" s="58" cm="1">
        <f t="array" ref="E48">1*OR(row_id=income_header_row, row_id=expenses_header_row, row_id=savings_header_row)</f>
        <v>0</v>
      </c>
      <c r="F48" s="60">
        <f t="shared" si="1"/>
        <v>0</v>
      </c>
      <c r="G48" s="60" cm="1">
        <f t="array" ref="G48">1*OR(row_id=income_total_row, row_id=expenses_total_row, row_id=savings_total_row)</f>
        <v>0</v>
      </c>
      <c r="H48" s="59">
        <f t="shared" si="2"/>
        <v>1</v>
      </c>
      <c r="I48" s="58" t="str" cm="1">
        <f t="array" ref="I48">IFERROR(INDEX('Budget Planning'!$C:$C, header_row_id),"")</f>
        <v/>
      </c>
      <c r="J48" s="60" t="str" cm="1">
        <f t="array" ref="J48">IFERROR(INDEX('Budget Planning'!$C:$C, row_id),"")</f>
        <v/>
      </c>
      <c r="K48" s="61" t="str" cm="1">
        <f t="array" ref="K48">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48" s="61" t="str" cm="1">
        <f t="array" ref="L48">IF(OR(is_header,is_empty),"",
   INDEX('Budget Planning'!$E:$EM, row_id,
        MATCH(IF(selected_period="Total Year", selected_year, DATE(selected_year, selected_period, 1)), 'Budget Planning'!$E$9:$EM$9, 0)))</f>
        <v/>
      </c>
      <c r="M48" s="67" t="str" cm="1">
        <f t="array" ref="M48">IF(is_cat,
    IF(header_row_id=income_header_row,MATCH(income_min_row, $C:$C,0),
      IF(header_row_id=expenses_header_row,MATCH(expenses_min_row, $C:$C,0),
        IF(header_row_id=savings_header_row,MATCH(savings_min_row, $C:$C,0), ""))),"")</f>
        <v/>
      </c>
      <c r="N48" s="68" t="str" cm="1">
        <f t="array" ref="N48">IF(is_cat,
    IF(header_row_id=income_header_row,MATCH(income_max_row, $C:$C,0),
      IF(header_row_id=expenses_header_row,MATCH(expenses_max_row, $C:$C,0),
        IF(header_row_id=savings_header_row,MATCH(savings_max_row, $C:$C,0), ""))),"")</f>
        <v/>
      </c>
      <c r="O48" s="67" t="str">
        <f t="shared" si="3"/>
        <v/>
      </c>
      <c r="P48" s="69" t="str">
        <f t="shared" ca="1" si="4"/>
        <v/>
      </c>
      <c r="Q48" s="69" t="str">
        <f t="shared" si="5"/>
        <v/>
      </c>
      <c r="R48" s="68" t="str">
        <f t="shared" ca="1" si="6"/>
        <v/>
      </c>
      <c r="S48" s="67" t="str">
        <f t="shared" si="7"/>
        <v/>
      </c>
      <c r="T48" s="69" t="str">
        <f t="shared" si="8"/>
        <v/>
      </c>
      <c r="U48" s="69" t="str">
        <f t="shared" ca="1" si="9"/>
        <v/>
      </c>
      <c r="V48" s="69" t="str">
        <f t="shared" si="10"/>
        <v/>
      </c>
      <c r="W48" s="68" t="str">
        <f t="shared" ca="1" si="11"/>
        <v/>
      </c>
      <c r="X48" s="71">
        <f t="shared" si="12"/>
        <v>-1</v>
      </c>
      <c r="Y48" s="76" t="str">
        <f t="shared" si="13"/>
        <v/>
      </c>
      <c r="Z48" s="78" t="str">
        <f t="shared" si="14"/>
        <v/>
      </c>
      <c r="AA48" s="78" t="str">
        <f t="shared" si="15"/>
        <v/>
      </c>
      <c r="AB48" s="77" t="str">
        <f t="shared" si="18"/>
        <v/>
      </c>
      <c r="AC48" s="94" t="str">
        <f t="shared" si="16"/>
        <v/>
      </c>
      <c r="AD48" s="94" t="str">
        <f t="shared" si="17"/>
        <v/>
      </c>
    </row>
    <row r="49" spans="3:30" x14ac:dyDescent="0.25">
      <c r="C49" s="58" cm="1">
        <f t="array" ref="C49">IF(C48=-1,-1,
    IF(C48&lt;income_max_row,C48+1,
       IF(C48=income_max_row, income_total_row,
         IF(C48=income_total_row, "/1",
           IF(C48="/1", expenses_header_row,
            IF(C48&lt;expenses_max_row, C48+1,
             IF(C48=expenses_max_row, expenses_total_row,
              IF(C48=expenses_total_row, "/2",
               IF(C48="/2", savings_header_row,
                 IF(C48&lt;savings_max_row, C48+1,
                  IF(C48=savings_max_row, savings_total_row, -1)))))))))))</f>
        <v>-1</v>
      </c>
      <c r="D49" s="59">
        <f t="shared" si="0"/>
        <v>-1</v>
      </c>
      <c r="E49" s="58" cm="1">
        <f t="array" ref="E49">1*OR(row_id=income_header_row, row_id=expenses_header_row, row_id=savings_header_row)</f>
        <v>0</v>
      </c>
      <c r="F49" s="60">
        <f t="shared" si="1"/>
        <v>0</v>
      </c>
      <c r="G49" s="60" cm="1">
        <f t="array" ref="G49">1*OR(row_id=income_total_row, row_id=expenses_total_row, row_id=savings_total_row)</f>
        <v>0</v>
      </c>
      <c r="H49" s="59">
        <f t="shared" si="2"/>
        <v>1</v>
      </c>
      <c r="I49" s="58" t="str" cm="1">
        <f t="array" ref="I49">IFERROR(INDEX('Budget Planning'!$C:$C, header_row_id),"")</f>
        <v/>
      </c>
      <c r="J49" s="60" t="str" cm="1">
        <f t="array" ref="J49">IFERROR(INDEX('Budget Planning'!$C:$C, row_id),"")</f>
        <v/>
      </c>
      <c r="K49" s="61" t="str" cm="1">
        <f t="array" ref="K49">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49" s="61" t="str" cm="1">
        <f t="array" ref="L49">IF(OR(is_header,is_empty),"",
   INDEX('Budget Planning'!$E:$EM, row_id,
        MATCH(IF(selected_period="Total Year", selected_year, DATE(selected_year, selected_period, 1)), 'Budget Planning'!$E$9:$EM$9, 0)))</f>
        <v/>
      </c>
      <c r="M49" s="67" t="str" cm="1">
        <f t="array" ref="M49">IF(is_cat,
    IF(header_row_id=income_header_row,MATCH(income_min_row, $C:$C,0),
      IF(header_row_id=expenses_header_row,MATCH(expenses_min_row, $C:$C,0),
        IF(header_row_id=savings_header_row,MATCH(savings_min_row, $C:$C,0), ""))),"")</f>
        <v/>
      </c>
      <c r="N49" s="68" t="str" cm="1">
        <f t="array" ref="N49">IF(is_cat,
    IF(header_row_id=income_header_row,MATCH(income_max_row, $C:$C,0),
      IF(header_row_id=expenses_header_row,MATCH(expenses_max_row, $C:$C,0),
        IF(header_row_id=savings_header_row,MATCH(savings_max_row, $C:$C,0), ""))),"")</f>
        <v/>
      </c>
      <c r="O49" s="67" t="str">
        <f t="shared" si="3"/>
        <v/>
      </c>
      <c r="P49" s="69" t="str">
        <f t="shared" ca="1" si="4"/>
        <v/>
      </c>
      <c r="Q49" s="69" t="str">
        <f t="shared" si="5"/>
        <v/>
      </c>
      <c r="R49" s="68" t="str">
        <f t="shared" ca="1" si="6"/>
        <v/>
      </c>
      <c r="S49" s="67" t="str">
        <f t="shared" si="7"/>
        <v/>
      </c>
      <c r="T49" s="69" t="str">
        <f t="shared" si="8"/>
        <v/>
      </c>
      <c r="U49" s="69" t="str">
        <f t="shared" ca="1" si="9"/>
        <v/>
      </c>
      <c r="V49" s="69" t="str">
        <f t="shared" si="10"/>
        <v/>
      </c>
      <c r="W49" s="68" t="str">
        <f t="shared" ca="1" si="11"/>
        <v/>
      </c>
      <c r="X49" s="71">
        <f t="shared" si="12"/>
        <v>-1</v>
      </c>
      <c r="Y49" s="76" t="str">
        <f t="shared" si="13"/>
        <v/>
      </c>
      <c r="Z49" s="78" t="str">
        <f t="shared" si="14"/>
        <v/>
      </c>
      <c r="AA49" s="78" t="str">
        <f t="shared" si="15"/>
        <v/>
      </c>
      <c r="AB49" s="77" t="str">
        <f t="shared" si="18"/>
        <v/>
      </c>
      <c r="AC49" s="94" t="str">
        <f t="shared" si="16"/>
        <v/>
      </c>
      <c r="AD49" s="94" t="str">
        <f t="shared" si="17"/>
        <v/>
      </c>
    </row>
    <row r="50" spans="3:30" x14ac:dyDescent="0.25">
      <c r="C50" s="58" cm="1">
        <f t="array" ref="C50">IF(C49=-1,-1,
    IF(C49&lt;income_max_row,C49+1,
       IF(C49=income_max_row, income_total_row,
         IF(C49=income_total_row, "/1",
           IF(C49="/1", expenses_header_row,
            IF(C49&lt;expenses_max_row, C49+1,
             IF(C49=expenses_max_row, expenses_total_row,
              IF(C49=expenses_total_row, "/2",
               IF(C49="/2", savings_header_row,
                 IF(C49&lt;savings_max_row, C49+1,
                  IF(C49=savings_max_row, savings_total_row, -1)))))))))))</f>
        <v>-1</v>
      </c>
      <c r="D50" s="59">
        <f t="shared" si="0"/>
        <v>-1</v>
      </c>
      <c r="E50" s="58" cm="1">
        <f t="array" ref="E50">1*OR(row_id=income_header_row, row_id=expenses_header_row, row_id=savings_header_row)</f>
        <v>0</v>
      </c>
      <c r="F50" s="60">
        <f t="shared" si="1"/>
        <v>0</v>
      </c>
      <c r="G50" s="60" cm="1">
        <f t="array" ref="G50">1*OR(row_id=income_total_row, row_id=expenses_total_row, row_id=savings_total_row)</f>
        <v>0</v>
      </c>
      <c r="H50" s="59">
        <f t="shared" si="2"/>
        <v>1</v>
      </c>
      <c r="I50" s="58" t="str" cm="1">
        <f t="array" ref="I50">IFERROR(INDEX('Budget Planning'!$C:$C, header_row_id),"")</f>
        <v/>
      </c>
      <c r="J50" s="60" t="str" cm="1">
        <f t="array" ref="J50">IFERROR(INDEX('Budget Planning'!$C:$C, row_id),"")</f>
        <v/>
      </c>
      <c r="K50" s="61" t="str" cm="1">
        <f t="array" ref="K50">IF(OR(is_header,is_empty),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*(Tracking[Category]=item)* (YEAR(Tracking[Effective Date])=selected_year)),
           SUM(Tracking[Amount] * (Tracking[Type]=type) *(Tracking[Category]=item)* (YEAR(Tracking[Effective Date])=selected_year)* (MONTH(Tracking[Effective Date])=selected_period))
)))</f>
        <v/>
      </c>
      <c r="L50" s="61" t="str" cm="1">
        <f t="array" ref="L50">IF(OR(is_header,is_empty),"",
   INDEX('Budget Planning'!$E:$EM, row_id,
        MATCH(IF(selected_period="Total Year", selected_year, DATE(selected_year, selected_period, 1)), 'Budget Planning'!$E$9:$EM$9, 0)))</f>
        <v/>
      </c>
      <c r="M50" s="67" t="str" cm="1">
        <f t="array" ref="M50">IF(is_cat,
    IF(header_row_id=income_header_row,MATCH(income_min_row, $C:$C,0),
      IF(header_row_id=expenses_header_row,MATCH(expenses_min_row, $C:$C,0),
        IF(header_row_id=savings_header_row,MATCH(savings_min_row, $C:$C,0), ""))),"")</f>
        <v/>
      </c>
      <c r="N50" s="68" t="str" cm="1">
        <f t="array" ref="N50">IF(is_cat,
    IF(header_row_id=income_header_row,MATCH(income_max_row, $C:$C,0),
      IF(header_row_id=expenses_header_row,MATCH(expenses_max_row, $C:$C,0),
        IF(header_row_id=savings_header_row,MATCH(savings_max_row, $C:$C,0), ""))),"")</f>
        <v/>
      </c>
      <c r="O50" s="67" t="str">
        <f t="shared" si="3"/>
        <v/>
      </c>
      <c r="P50" s="69" t="str">
        <f t="shared" ca="1" si="4"/>
        <v/>
      </c>
      <c r="Q50" s="69" t="str">
        <f t="shared" si="5"/>
        <v/>
      </c>
      <c r="R50" s="68" t="str">
        <f t="shared" ca="1" si="6"/>
        <v/>
      </c>
      <c r="S50" s="67" t="str">
        <f t="shared" si="7"/>
        <v/>
      </c>
      <c r="T50" s="69" t="str">
        <f t="shared" si="8"/>
        <v/>
      </c>
      <c r="U50" s="69" t="str">
        <f t="shared" ca="1" si="9"/>
        <v/>
      </c>
      <c r="V50" s="69" t="str">
        <f t="shared" si="10"/>
        <v/>
      </c>
      <c r="W50" s="68" t="str">
        <f t="shared" ca="1" si="11"/>
        <v/>
      </c>
      <c r="X50" s="71">
        <f t="shared" si="12"/>
        <v>-1</v>
      </c>
      <c r="Y50" s="76" t="str">
        <f t="shared" si="13"/>
        <v/>
      </c>
      <c r="Z50" s="78" t="str">
        <f t="shared" si="14"/>
        <v/>
      </c>
      <c r="AA50" s="78" t="str">
        <f t="shared" si="15"/>
        <v/>
      </c>
      <c r="AB50" s="77" t="str">
        <f t="shared" si="18"/>
        <v/>
      </c>
      <c r="AC50" s="94" t="str">
        <f t="shared" si="16"/>
        <v/>
      </c>
      <c r="AD50" s="94" t="str">
        <f t="shared" si="17"/>
        <v/>
      </c>
    </row>
    <row r="51" spans="3:30" x14ac:dyDescent="0.25">
      <c r="E51" s="58" cm="1">
        <f t="array" ref="E51">1*OR(row_id=income_header_row, row_id=expenses_header_row, row_id=savings_header_row)</f>
        <v>0</v>
      </c>
      <c r="T51" s="69" t="str">
        <f t="shared" si="8"/>
        <v/>
      </c>
      <c r="W51" s="68" t="str">
        <f t="shared" ca="1" si="11"/>
        <v/>
      </c>
    </row>
    <row r="980" spans="29:31" x14ac:dyDescent="0.25">
      <c r="AC980" s="4"/>
      <c r="AD980" s="4"/>
      <c r="AE980"/>
    </row>
    <row r="981" spans="29:31" x14ac:dyDescent="0.25">
      <c r="AC981" s="4"/>
      <c r="AD981" s="4"/>
      <c r="AE981"/>
    </row>
    <row r="982" spans="29:31" x14ac:dyDescent="0.25">
      <c r="AC982" s="4"/>
      <c r="AD982" s="4"/>
      <c r="AE982"/>
    </row>
    <row r="983" spans="29:31" x14ac:dyDescent="0.25">
      <c r="AC983" s="4"/>
      <c r="AD983" s="4"/>
      <c r="AE983"/>
    </row>
    <row r="984" spans="29:31" x14ac:dyDescent="0.25">
      <c r="AC984" s="4"/>
      <c r="AD984" s="4"/>
      <c r="AE984"/>
    </row>
    <row r="985" spans="29:31" x14ac:dyDescent="0.25">
      <c r="AC985" s="4"/>
      <c r="AD985" s="4"/>
      <c r="AE985"/>
    </row>
    <row r="986" spans="29:31" x14ac:dyDescent="0.25">
      <c r="AC986" s="4"/>
      <c r="AD986" s="4"/>
      <c r="AE986"/>
    </row>
    <row r="987" spans="29:31" x14ac:dyDescent="0.25">
      <c r="AC987" s="4"/>
      <c r="AD987" s="4"/>
      <c r="AE987"/>
    </row>
    <row r="988" spans="29:31" x14ac:dyDescent="0.25">
      <c r="AC988" s="4"/>
      <c r="AD988" s="4"/>
      <c r="AE988"/>
    </row>
  </sheetData>
  <mergeCells count="9">
    <mergeCell ref="Y1:AE2"/>
    <mergeCell ref="AN9:AP9"/>
    <mergeCell ref="Y11:AD11"/>
    <mergeCell ref="AF11:AR11"/>
    <mergeCell ref="AQ5:AR5"/>
    <mergeCell ref="AQ6:AR6"/>
    <mergeCell ref="AN6:AP6"/>
    <mergeCell ref="AQ9:AR9"/>
    <mergeCell ref="AQ8:AR8"/>
  </mergeCells>
  <conditionalFormatting sqref="Y36:AC36 AB13:AB50">
    <cfRule type="dataBar" priority="28">
      <dataBar>
        <cfvo type="num" val="0"/>
        <cfvo type="num" val="1"/>
        <color theme="0" tint="-0.14999847407452621"/>
      </dataBar>
      <extLst>
        <ext xmlns:x14="http://schemas.microsoft.com/office/spreadsheetml/2009/9/main" uri="{B025F937-C7B1-47D3-B67F-A62EFF666E3E}">
          <x14:id>{7250D489-8E64-4862-804E-B02EE9EA6BFB}</x14:id>
        </ext>
      </extLst>
    </cfRule>
  </conditionalFormatting>
  <conditionalFormatting sqref="Y13:AD50 AF43:AF50">
    <cfRule type="expression" dxfId="25" priority="19" stopIfTrue="1">
      <formula>row_id = income_header_row</formula>
    </cfRule>
    <cfRule type="expression" dxfId="24" priority="20" stopIfTrue="1">
      <formula>row_id = expenses_header_row</formula>
    </cfRule>
    <cfRule type="expression" dxfId="23" priority="21" stopIfTrue="1">
      <formula>row_id = savings_header_row</formula>
    </cfRule>
    <cfRule type="expression" dxfId="22" priority="24" stopIfTrue="1">
      <formula xml:space="preserve"> is_total</formula>
    </cfRule>
  </conditionalFormatting>
  <conditionalFormatting sqref="AB13:AB50 Y36:AC36">
    <cfRule type="expression" dxfId="21" priority="25" stopIfTrue="1">
      <formula>AND(OR(is_cat, is_total), out_budget &gt;0, out_percent_completed &gt;=1, header_row_id=income_header_row)</formula>
    </cfRule>
    <cfRule type="expression" dxfId="20" priority="26" stopIfTrue="1">
      <formula>AND(OR(is_cat, is_total), out_budget &gt;0, out_percent_completed &gt;=1, header_row_id=expenses_header_row)</formula>
    </cfRule>
    <cfRule type="expression" dxfId="19" priority="27" stopIfTrue="1">
      <formula>AND(OR(is_cat, is_total), out_budget &gt;0, out_percent_completed &gt;=1, header_row_id=savings_header_row)</formula>
    </cfRule>
  </conditionalFormatting>
  <conditionalFormatting sqref="AH16">
    <cfRule type="expression" dxfId="18" priority="13">
      <formula>AI16&lt;&gt;""</formula>
    </cfRule>
  </conditionalFormatting>
  <conditionalFormatting sqref="AH17">
    <cfRule type="expression" dxfId="17" priority="14">
      <formula>AI17&lt;&gt;""</formula>
    </cfRule>
  </conditionalFormatting>
  <conditionalFormatting sqref="AH18">
    <cfRule type="expression" dxfId="16" priority="15">
      <formula>AI18&lt;&gt;""</formula>
    </cfRule>
  </conditionalFormatting>
  <conditionalFormatting sqref="AH19">
    <cfRule type="expression" dxfId="15" priority="16">
      <formula>AI19&lt;&gt;""</formula>
    </cfRule>
  </conditionalFormatting>
  <conditionalFormatting sqref="AH20">
    <cfRule type="expression" dxfId="14" priority="17">
      <formula>AI20&lt;&gt;""</formula>
    </cfRule>
  </conditionalFormatting>
  <conditionalFormatting sqref="AH21">
    <cfRule type="expression" dxfId="13" priority="18">
      <formula>AI21&lt;&gt;""</formula>
    </cfRule>
  </conditionalFormatting>
  <conditionalFormatting sqref="AH29">
    <cfRule type="expression" dxfId="12" priority="7">
      <formula>AI29&lt;&gt;""</formula>
    </cfRule>
  </conditionalFormatting>
  <conditionalFormatting sqref="AH30">
    <cfRule type="expression" dxfId="11" priority="8">
      <formula>AI30&lt;&gt;""</formula>
    </cfRule>
  </conditionalFormatting>
  <conditionalFormatting sqref="AH31">
    <cfRule type="expression" dxfId="10" priority="9">
      <formula>AI31&lt;&gt;""</formula>
    </cfRule>
  </conditionalFormatting>
  <conditionalFormatting sqref="AH32">
    <cfRule type="expression" dxfId="9" priority="10">
      <formula>AI32&lt;&gt;""</formula>
    </cfRule>
  </conditionalFormatting>
  <conditionalFormatting sqref="AH33">
    <cfRule type="expression" dxfId="8" priority="11">
      <formula>AI33&lt;&gt;""</formula>
    </cfRule>
  </conditionalFormatting>
  <conditionalFormatting sqref="AH34">
    <cfRule type="expression" dxfId="7" priority="12">
      <formula>AI34&lt;&gt;""</formula>
    </cfRule>
  </conditionalFormatting>
  <conditionalFormatting sqref="AO29">
    <cfRule type="expression" dxfId="6" priority="1">
      <formula>AP29&lt;&gt;""</formula>
    </cfRule>
  </conditionalFormatting>
  <conditionalFormatting sqref="AO30">
    <cfRule type="expression" dxfId="5" priority="2">
      <formula>AP30&lt;&gt;""</formula>
    </cfRule>
  </conditionalFormatting>
  <conditionalFormatting sqref="AO31">
    <cfRule type="expression" dxfId="4" priority="3">
      <formula>AP31&lt;&gt;""</formula>
    </cfRule>
  </conditionalFormatting>
  <conditionalFormatting sqref="AO32">
    <cfRule type="expression" dxfId="3" priority="4">
      <formula>AP32&lt;&gt;""</formula>
    </cfRule>
  </conditionalFormatting>
  <conditionalFormatting sqref="AO33">
    <cfRule type="expression" dxfId="2" priority="5">
      <formula>AP33&lt;&gt;""</formula>
    </cfRule>
  </conditionalFormatting>
  <conditionalFormatting sqref="AO34">
    <cfRule type="expression" dxfId="1" priority="6">
      <formula>AP34&lt;&gt;""</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15" r:id="rId4" name="Check Box 19">
              <controlPr defaultSize="0" autoFill="0" autoLine="0" autoPict="0">
                <anchor moveWithCells="1">
                  <from>
                    <xdr:col>42</xdr:col>
                    <xdr:colOff>495300</xdr:colOff>
                    <xdr:row>11</xdr:row>
                    <xdr:rowOff>236220</xdr:rowOff>
                  </from>
                  <to>
                    <xdr:col>43</xdr:col>
                    <xdr:colOff>205740</xdr:colOff>
                    <xdr:row>12</xdr:row>
                    <xdr:rowOff>160020</xdr:rowOff>
                  </to>
                </anchor>
              </controlPr>
            </control>
          </mc:Choice>
        </mc:AlternateContent>
        <mc:AlternateContent xmlns:mc="http://schemas.openxmlformats.org/markup-compatibility/2006">
          <mc:Choice Requires="x14">
            <control shapeId="4116" r:id="rId5" name="Check Box 20">
              <controlPr defaultSize="0" autoFill="0" autoLine="0" autoPict="0">
                <anchor moveWithCells="1">
                  <from>
                    <xdr:col>42</xdr:col>
                    <xdr:colOff>495300</xdr:colOff>
                    <xdr:row>12</xdr:row>
                    <xdr:rowOff>198120</xdr:rowOff>
                  </from>
                  <to>
                    <xdr:col>43</xdr:col>
                    <xdr:colOff>213360</xdr:colOff>
                    <xdr:row>13</xdr:row>
                    <xdr:rowOff>60960</xdr:rowOff>
                  </to>
                </anchor>
              </controlPr>
            </control>
          </mc:Choice>
        </mc:AlternateContent>
        <mc:AlternateContent xmlns:mc="http://schemas.openxmlformats.org/markup-compatibility/2006">
          <mc:Choice Requires="x14">
            <control shapeId="4117" r:id="rId6" name="Check Box 21">
              <controlPr defaultSize="0" autoFill="0" autoLine="0" autoPict="0">
                <anchor moveWithCells="1">
                  <from>
                    <xdr:col>41</xdr:col>
                    <xdr:colOff>678180</xdr:colOff>
                    <xdr:row>12</xdr:row>
                    <xdr:rowOff>213360</xdr:rowOff>
                  </from>
                  <to>
                    <xdr:col>41</xdr:col>
                    <xdr:colOff>1226820</xdr:colOff>
                    <xdr:row>13</xdr:row>
                    <xdr:rowOff>76200</xdr:rowOff>
                  </to>
                </anchor>
              </controlPr>
            </control>
          </mc:Choice>
        </mc:AlternateContent>
        <mc:AlternateContent xmlns:mc="http://schemas.openxmlformats.org/markup-compatibility/2006">
          <mc:Choice Requires="x14">
            <control shapeId="4118" r:id="rId7" name="Check Box 22">
              <controlPr defaultSize="0" autoFill="0" autoLine="0" autoPict="0">
                <anchor moveWithCells="1">
                  <from>
                    <xdr:col>41</xdr:col>
                    <xdr:colOff>693420</xdr:colOff>
                    <xdr:row>12</xdr:row>
                    <xdr:rowOff>0</xdr:rowOff>
                  </from>
                  <to>
                    <xdr:col>41</xdr:col>
                    <xdr:colOff>1226820</xdr:colOff>
                    <xdr:row>12</xdr:row>
                    <xdr:rowOff>190500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7250D489-8E64-4862-804E-B02EE9EA6BFB}">
            <x14:dataBar minLength="0" maxLength="100" gradient="0">
              <x14:cfvo type="num">
                <xm:f>0</xm:f>
              </x14:cfvo>
              <x14:cfvo type="num">
                <xm:f>1</xm:f>
              </x14:cfvo>
              <x14:negativeFillColor rgb="FFFF0000"/>
              <x14:axisColor rgb="FF000000"/>
            </x14:dataBar>
          </x14:cfRule>
          <xm:sqref>Y36:AC36 AB13:AB50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81FEFCFE-0592-4D48-BAF0-1CC1F167F75B}">
          <x14:formula1>
            <xm:f>'Dropdown Data'!$C$8:$C$18</xm:f>
          </x14:formula1>
          <xm:sqref>AQ6:AR6</xm:sqref>
        </x14:dataValidation>
        <x14:dataValidation type="list" allowBlank="1" showInputMessage="1" showErrorMessage="1" xr:uid="{14754804-7D27-4E9C-A433-64BA8D73845E}">
          <x14:formula1>
            <xm:f>'Dropdown Data'!$E$8:$E$21</xm:f>
          </x14:formula1>
          <xm:sqref>AQ9:AR9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BF39-F5EB-461A-B5C5-E5BE565B2026}">
  <dimension ref="A1:S102"/>
  <sheetViews>
    <sheetView zoomScale="87" zoomScaleNormal="87" workbookViewId="0">
      <selection activeCell="I5" sqref="I5"/>
    </sheetView>
  </sheetViews>
  <sheetFormatPr defaultRowHeight="13.8" x14ac:dyDescent="0.25"/>
  <cols>
    <col min="1" max="2" width="3.81640625" customWidth="1"/>
    <col min="3" max="3" width="1.7265625" customWidth="1"/>
    <col min="4" max="4" width="23.1796875" customWidth="1"/>
    <col min="5" max="5" width="31.7265625" customWidth="1"/>
    <col min="6" max="6" width="15.453125" customWidth="1"/>
    <col min="7" max="7" width="8.7265625" customWidth="1"/>
    <col min="8" max="8" width="19.453125" customWidth="1"/>
    <col min="9" max="9" width="23" customWidth="1"/>
    <col min="10" max="10" width="8.453125" customWidth="1"/>
    <col min="11" max="11" width="8.7265625" customWidth="1"/>
    <col min="12" max="12" width="19.453125" customWidth="1"/>
    <col min="13" max="13" width="20.08984375" customWidth="1"/>
    <col min="14" max="14" width="11.26953125" customWidth="1"/>
    <col min="16" max="16" width="20.08984375" customWidth="1"/>
    <col min="17" max="17" width="11.26953125" customWidth="1"/>
  </cols>
  <sheetData>
    <row r="1" spans="1:19" x14ac:dyDescent="0.25">
      <c r="A1" s="3"/>
      <c r="B1" s="3"/>
      <c r="C1" s="157" t="s">
        <v>38</v>
      </c>
      <c r="D1" s="158"/>
      <c r="E1" s="158"/>
      <c r="F1" s="158"/>
      <c r="G1" s="3"/>
      <c r="H1" s="3"/>
      <c r="I1" s="3"/>
      <c r="J1" s="3"/>
      <c r="K1" s="3"/>
      <c r="L1" s="3"/>
      <c r="M1" s="3"/>
      <c r="N1" s="3"/>
      <c r="O1" s="3"/>
      <c r="P1" s="3"/>
      <c r="Q1" s="3"/>
      <c r="R1" s="3"/>
      <c r="S1" s="3"/>
    </row>
    <row r="2" spans="1:19" ht="25.5" customHeight="1" x14ac:dyDescent="0.25">
      <c r="A2" s="3"/>
      <c r="B2" s="3"/>
      <c r="C2" s="158"/>
      <c r="D2" s="158"/>
      <c r="E2" s="158"/>
      <c r="F2" s="158"/>
      <c r="G2" s="3"/>
      <c r="H2" s="3"/>
      <c r="I2" s="3"/>
      <c r="J2" s="3"/>
      <c r="K2" s="3"/>
      <c r="L2" s="3"/>
      <c r="M2" s="3"/>
      <c r="N2" s="3"/>
      <c r="O2" s="3"/>
      <c r="P2" s="3"/>
      <c r="Q2" s="3"/>
      <c r="R2" s="3"/>
      <c r="S2" s="3"/>
    </row>
    <row r="3" spans="1:19" x14ac:dyDescent="0.25">
      <c r="A3" s="3"/>
      <c r="B3" s="3"/>
      <c r="C3" s="3"/>
      <c r="D3" s="3"/>
      <c r="E3" s="3"/>
      <c r="F3" s="3"/>
      <c r="G3" s="3"/>
      <c r="H3" s="3"/>
      <c r="I3" s="3"/>
      <c r="J3" s="3"/>
      <c r="K3" s="3"/>
      <c r="L3" s="3"/>
      <c r="M3" s="3"/>
      <c r="N3" s="3"/>
      <c r="O3" s="3"/>
      <c r="P3" s="3"/>
      <c r="Q3" s="3"/>
      <c r="R3" s="3"/>
      <c r="S3" s="3"/>
    </row>
    <row r="6" spans="1:19" x14ac:dyDescent="0.25">
      <c r="C6" s="154" t="s">
        <v>39</v>
      </c>
      <c r="D6" s="154"/>
      <c r="E6" s="154"/>
      <c r="F6" s="154"/>
    </row>
    <row r="8" spans="1:19" x14ac:dyDescent="0.25">
      <c r="D8" s="105" t="s">
        <v>40</v>
      </c>
      <c r="E8" s="42" cm="1">
        <f t="array" aca="1" ref="E8" ca="1">current_date</f>
        <v>45795</v>
      </c>
    </row>
    <row r="9" spans="1:19" x14ac:dyDescent="0.25">
      <c r="D9" s="105" t="s">
        <v>41</v>
      </c>
      <c r="E9" s="42">
        <f>MAX(Tracking[Date])</f>
        <v>45793</v>
      </c>
    </row>
    <row r="10" spans="1:19" x14ac:dyDescent="0.25">
      <c r="D10" s="105" t="s">
        <v>42</v>
      </c>
      <c r="E10" s="29" t="str">
        <f ca="1">IF(E9=0,"","("&amp;_xlfn.DAYS(E8,E9)&amp;"days ago)")</f>
        <v>(2days ago)</v>
      </c>
    </row>
    <row r="11" spans="1:19" x14ac:dyDescent="0.25">
      <c r="D11" s="105" t="s">
        <v>43</v>
      </c>
      <c r="E11">
        <f>COUNT(Tracking[Date])</f>
        <v>13</v>
      </c>
    </row>
    <row r="12" spans="1:19" x14ac:dyDescent="0.25">
      <c r="D12" s="105" t="s">
        <v>44</v>
      </c>
      <c r="E12" t="str" cm="1">
        <f t="array" aca="1" ref="E12" ca="1">"(" &amp; SUMPRODUCT(--(YEAR(Tracking[Date])= YEAR(current_date)))&amp; " this year)"</f>
        <v>(13 this year)</v>
      </c>
    </row>
    <row r="13" spans="1:19" x14ac:dyDescent="0.25">
      <c r="D13" s="105" t="s">
        <v>45</v>
      </c>
      <c r="E13" s="44">
        <f>_xlfn.IFNA(INDEX(Tracking[Balance], MATCH(Calculations!E9, Tracking[Date],0)), "-")</f>
        <v>50</v>
      </c>
    </row>
    <row r="14" spans="1:19" x14ac:dyDescent="0.25">
      <c r="D14" s="105" t="s">
        <v>46</v>
      </c>
      <c r="E14" s="112" t="str">
        <f>IF(E13&gt;=0, "of tracked income to be allocated", "allocated not covered by income")</f>
        <v>of tracked income to be allocated</v>
      </c>
    </row>
    <row r="17" spans="3:14" x14ac:dyDescent="0.25">
      <c r="C17" s="154" t="s">
        <v>58</v>
      </c>
      <c r="D17" s="154"/>
      <c r="E17" s="154"/>
      <c r="F17" s="154"/>
    </row>
    <row r="18" spans="3:14" ht="23.4" customHeight="1" x14ac:dyDescent="0.25"/>
    <row r="19" spans="3:14" ht="23.4" customHeight="1" x14ac:dyDescent="0.25">
      <c r="D19" s="105" t="s">
        <v>59</v>
      </c>
      <c r="E19" cm="1">
        <f t="array" ref="E19">IF('Budget Dashboard'!$AQ$6 ="Current Year", YEAR(current_date), 'Budget Dashboard'!$AQ$6)</f>
        <v>2025</v>
      </c>
    </row>
    <row r="20" spans="3:14" ht="23.4" customHeight="1" x14ac:dyDescent="0.25">
      <c r="D20" s="109" t="s">
        <v>60</v>
      </c>
      <c r="E20" s="56" cm="1">
        <f t="array" ref="E20">IF('Budget Dashboard'!$AQ$9="Total Year", "Total Year", IF('Budget Dashboard'!$AQ$9="Current Month", MONTH(current_date), MONTH('Budget Dashboard'!$AQ$9)))</f>
        <v>5</v>
      </c>
    </row>
    <row r="21" spans="3:14" ht="23.4" customHeight="1" x14ac:dyDescent="0.25">
      <c r="D21" s="105" t="s">
        <v>61</v>
      </c>
      <c r="E21" s="43" t="str">
        <f>IF(selected_period="Total Year", "Total Year", TEXT(DATE(selected_year,selected_period,1), "mmmm"))</f>
        <v>May</v>
      </c>
    </row>
    <row r="22" spans="3:14" ht="23.4" customHeight="1" x14ac:dyDescent="0.25">
      <c r="D22" s="105" t="s">
        <v>105</v>
      </c>
      <c r="E22">
        <f>IF(selected_period="Total Year", DATE(selected_year, 12,31)- DATE(selected_year-1, 12,31), DAY(EOMONTH(DATE(selected_year, selected_period,1), 0)))</f>
        <v>31</v>
      </c>
    </row>
    <row r="23" spans="3:14" ht="23.4" customHeight="1" x14ac:dyDescent="0.25">
      <c r="D23" s="105" t="s">
        <v>106</v>
      </c>
      <c r="E23" cm="1">
        <f t="array" aca="1" ref="E23" ca="1">IF(selected_year=YEAR(current_date),
    IF(selected_period="Total Year", current_date-DATE(selected_year-1,12,31),
      IF(selected_period=MONTH(current_date), DAY(current_date),
       IF(selected_period&lt;MONTH(current_date), E22,0))),
IF(selected_year&lt;YEAR(current_date), E22,0))</f>
        <v>18</v>
      </c>
    </row>
    <row r="24" spans="3:14" ht="23.4" customHeight="1" x14ac:dyDescent="0.25">
      <c r="D24" s="105" t="s">
        <v>107</v>
      </c>
      <c r="E24" s="110">
        <f ca="1">E23/E22</f>
        <v>0.58064516129032262</v>
      </c>
    </row>
    <row r="25" spans="3:14" ht="23.4" customHeight="1" x14ac:dyDescent="0.25">
      <c r="D25" s="105" t="s">
        <v>108</v>
      </c>
      <c r="E25" s="111">
        <f ca="1">F41-(J41+N41)</f>
        <v>50</v>
      </c>
    </row>
    <row r="26" spans="3:14" ht="23.4" customHeight="1" x14ac:dyDescent="0.25">
      <c r="D26" s="105" t="s">
        <v>109</v>
      </c>
      <c r="E26" s="113" t="str">
        <f ca="1">IF(E25&gt;=0, "of tracked income left to be allocated", "allocated not covered by income")</f>
        <v>of tracked income left to be allocated</v>
      </c>
    </row>
    <row r="27" spans="3:14" ht="24.6" customHeight="1" x14ac:dyDescent="0.25">
      <c r="D27" s="105" t="s">
        <v>110</v>
      </c>
      <c r="E27" s="117">
        <f ca="1">IFERROR(IF(savings_rate_cal_type = "% allocated to Savings", N41/F41, (F41-J41)/F41), "-")</f>
        <v>2.4390243902439025E-2</v>
      </c>
    </row>
    <row r="32" spans="3:14" ht="28.05" customHeight="1" x14ac:dyDescent="0.25">
      <c r="D32" s="155" t="s">
        <v>86</v>
      </c>
      <c r="E32" s="156"/>
      <c r="F32" s="87"/>
      <c r="G32" s="87"/>
      <c r="H32" s="87"/>
      <c r="I32" s="87"/>
      <c r="J32" s="87"/>
      <c r="K32" s="87"/>
      <c r="L32" s="87"/>
      <c r="M32" s="87"/>
      <c r="N32" s="87"/>
    </row>
    <row r="34" spans="4:14" ht="28.05" customHeight="1" x14ac:dyDescent="0.25">
      <c r="D34" s="88" t="s">
        <v>0</v>
      </c>
      <c r="E34" s="88" t="s">
        <v>26</v>
      </c>
      <c r="F34" s="88" t="s">
        <v>27</v>
      </c>
      <c r="H34" s="88" t="s">
        <v>1</v>
      </c>
      <c r="I34" s="88" t="s">
        <v>26</v>
      </c>
      <c r="J34" s="88" t="s">
        <v>27</v>
      </c>
      <c r="L34" s="88" t="s">
        <v>2</v>
      </c>
      <c r="M34" s="88" t="s">
        <v>26</v>
      </c>
      <c r="N34" s="88" t="s">
        <v>27</v>
      </c>
    </row>
    <row r="35" spans="4:14" x14ac:dyDescent="0.25">
      <c r="D35" s="89">
        <v>1</v>
      </c>
      <c r="E35" s="100" t="str" cm="1">
        <f t="array" aca="1" ref="E35" ca="1">IF(F35="", "",  INDEX('Budget Dashboard'!$J:$J, MATCH(income_header_row +Calculations!D35, 'Budget Dashboard'!$X:$X, 0)))</f>
        <v>Employment (Net)</v>
      </c>
      <c r="F35" s="78" cm="1">
        <f t="array" aca="1" ref="F35" ca="1">IF(D35&gt;COUNTA(Income[]), "",
     IF(INDEX('Budget Dashboard'!$K:$K, MATCH(income_header_row +Calculations!D35, 'Budget Dashboard'!$X:$X, 0))=0,"",
        INDEX('Budget Dashboard'!$K:$K, MATCH(income_header_row +Calculations!D35, 'Budget Dashboard'!$X:$X, 0))))</f>
        <v>3500</v>
      </c>
      <c r="H35" s="89">
        <v>1</v>
      </c>
      <c r="I35" s="100" t="str" cm="1">
        <f t="array" aca="1" ref="I35" ca="1">IF(J35="", "",  INDEX('Budget Dashboard'!$J:$J, MATCH(expenses_header_row +Calculations!H35, 'Budget Dashboard'!$X:$X, 0)))</f>
        <v>Utilities (house media fees)</v>
      </c>
      <c r="J35" s="78" cm="1">
        <f t="array" aca="1" ref="J35" ca="1">IF(H36&gt;COUNTA(Expenses[]), "",
     IF(INDEX('Budget Dashboard'!$K:$K, MATCH(expenses_header_row+Calculations!H36, 'Budget Dashboard'!$X:$X, 0))=0,"",
        INDEX('Budget Dashboard'!$K:$K, MATCH(expenses_header_row +Calculations!H36, 'Budget Dashboard'!$X:$X, 0))))</f>
        <v>800</v>
      </c>
      <c r="L35" s="89">
        <v>1</v>
      </c>
      <c r="M35" s="100" t="str" cm="1">
        <f t="array" aca="1" ref="M35" ca="1">IF(N35="", "",  INDEX('Budget Dashboard'!$J:$J, MATCH(savings_header_row +Calculations!L35, 'Budget Dashboard'!$X:$X, 0)))</f>
        <v>Emergency Fund</v>
      </c>
      <c r="N35" s="78" cm="1">
        <f t="array" aca="1" ref="N35" ca="1">IF(L35&gt;COUNTA(Savings[]), "",
     IF(INDEX('Budget Dashboard'!$K:$K, MATCH(savings_header_row +Calculations!L35, 'Budget Dashboard'!$X:$X, 0))=0,"",
        INDEX('Budget Dashboard'!$K:$K, MATCH(savings_header_row +Calculations!L35, 'Budget Dashboard'!$X:$X, 0))))</f>
        <v>100</v>
      </c>
    </row>
    <row r="36" spans="4:14" x14ac:dyDescent="0.25">
      <c r="D36" s="89">
        <v>2</v>
      </c>
      <c r="E36" s="100" t="str" cm="1">
        <f t="array" aca="1" ref="E36" ca="1">IF(F36="", "",  INDEX('Budget Dashboard'!$J:$J, MATCH(income_header_row +Calculations!D36, 'Budget Dashboard'!$X:$X, 0)))</f>
        <v>Dividends</v>
      </c>
      <c r="F36" s="78" cm="1">
        <f t="array" aca="1" ref="F36" ca="1">IF(D36&gt;COUNTA(Income[]), "",
     IF(INDEX('Budget Dashboard'!$K:$K, MATCH(income_header_row +Calculations!D36, 'Budget Dashboard'!$X:$X, 0))=0,"",
        INDEX('Budget Dashboard'!$K:$K, MATCH(income_header_row +Calculations!D36, 'Budget Dashboard'!$X:$X, 0))))</f>
        <v>400</v>
      </c>
      <c r="H36" s="89">
        <v>2</v>
      </c>
      <c r="I36" s="100" t="str" cm="1">
        <f t="array" aca="1" ref="I36" ca="1">IF(J36="", "",  INDEX('Budget Dashboard'!$J:$J, MATCH(expenses_header_row +Calculations!H36, 'Budget Dashboard'!$X:$X, 0)))</f>
        <v>Enter Expense Catergory</v>
      </c>
      <c r="J36" s="78" cm="1">
        <f t="array" aca="1" ref="J36" ca="1">IF(H37&gt;COUNTA(Expenses[]), "",
     IF(INDEX('Budget Dashboard'!$K:$K, MATCH(expenses_header_row+Calculations!H37, 'Budget Dashboard'!$X:$X, 0))=0,"",
        INDEX('Budget Dashboard'!$K:$K, MATCH(expenses_header_row +Calculations!H37, 'Budget Dashboard'!$X:$X, 0))))</f>
        <v>600</v>
      </c>
      <c r="L36" s="89">
        <v>2</v>
      </c>
      <c r="M36" s="100" t="str" cm="1">
        <f t="array" aca="1" ref="M36" ca="1">IF(N36="", "",  INDEX('Budget Dashboard'!$J:$J, MATCH(savings_header_row +Calculations!L36, 'Budget Dashboard'!$X:$X, 0)))</f>
        <v/>
      </c>
      <c r="N36" s="78" t="str" cm="1">
        <f t="array" aca="1" ref="N36" ca="1">IF(L36&gt;COUNTA(Savings[]), "",
     IF(INDEX('Budget Dashboard'!$K:$K, MATCH(savings_header_row +Calculations!L36, 'Budget Dashboard'!$X:$X, 0))=0,"",
        INDEX('Budget Dashboard'!$K:$K, MATCH(savings_header_row +Calculations!L36, 'Budget Dashboard'!$X:$X, 0))))</f>
        <v/>
      </c>
    </row>
    <row r="37" spans="4:14" x14ac:dyDescent="0.25">
      <c r="D37" s="89">
        <v>3</v>
      </c>
      <c r="E37" s="100" t="str" cm="1">
        <f t="array" aca="1" ref="E37" ca="1">IF(F37="", "",  INDEX('Budget Dashboard'!$J:$J, MATCH(income_header_row +Calculations!D37, 'Budget Dashboard'!$X:$X, 0)))</f>
        <v>Side Hustle( Net)</v>
      </c>
      <c r="F37" s="78" cm="1">
        <f t="array" aca="1" ref="F37" ca="1">IF(D37&gt;COUNTA(Income[]), "",
     IF(INDEX('Budget Dashboard'!$K:$K, MATCH(income_header_row +Calculations!D37, 'Budget Dashboard'!$X:$X, 0))=0,"",
        INDEX('Budget Dashboard'!$K:$K, MATCH(income_header_row +Calculations!D37, 'Budget Dashboard'!$X:$X, 0))))</f>
        <v>200</v>
      </c>
      <c r="H37" s="89">
        <v>3</v>
      </c>
      <c r="I37" s="100" t="str" cm="1">
        <f t="array" aca="1" ref="I37" ca="1">IF(J37="", "",  INDEX('Budget Dashboard'!$J:$J, MATCH(expenses_header_row +Calculations!H37, 'Budget Dashboard'!$X:$X, 0)))</f>
        <v>Health &amp; Wellnes</v>
      </c>
      <c r="J37" s="78" cm="1">
        <f t="array" aca="1" ref="J37" ca="1">IF(H38&gt;COUNTA(Expenses[]), "",
     IF(INDEX('Budget Dashboard'!$K:$K, MATCH(expenses_header_row+Calculations!H38, 'Budget Dashboard'!$X:$X, 0))=0,"",
        INDEX('Budget Dashboard'!$K:$K, MATCH(expenses_header_row +Calculations!H38, 'Budget Dashboard'!$X:$X, 0))))</f>
        <v>500</v>
      </c>
      <c r="L37" s="89">
        <v>3</v>
      </c>
      <c r="M37" s="100" t="str" cm="1">
        <f t="array" aca="1" ref="M37" ca="1">IF(N37="", "",  INDEX('Budget Dashboard'!$J:$J, MATCH(savings_header_row +Calculations!L37, 'Budget Dashboard'!$X:$X, 0)))</f>
        <v/>
      </c>
      <c r="N37" s="78" t="str" cm="1">
        <f t="array" aca="1" ref="N37" ca="1">IF(L37&gt;COUNTA(Savings[]), "",
     IF(INDEX('Budget Dashboard'!$K:$K, MATCH(savings_header_row +Calculations!L37, 'Budget Dashboard'!$X:$X, 0))=0,"",
        INDEX('Budget Dashboard'!$K:$K, MATCH(savings_header_row +Calculations!L37, 'Budget Dashboard'!$X:$X, 0))))</f>
        <v/>
      </c>
    </row>
    <row r="38" spans="4:14" x14ac:dyDescent="0.25">
      <c r="D38" s="89">
        <v>4</v>
      </c>
      <c r="E38" s="100" t="str" cm="1">
        <f t="array" aca="1" ref="E38" ca="1">IF(F38="", "",  INDEX('Budget Dashboard'!$J:$J, MATCH(income_header_row +Calculations!D38, 'Budget Dashboard'!$X:$X, 0)))</f>
        <v/>
      </c>
      <c r="F38" s="78" t="str" cm="1">
        <f t="array" aca="1" ref="F38" ca="1">IF(D38&gt;COUNTA(Income[]), "",
     IF(INDEX('Budget Dashboard'!$K:$K, MATCH(income_header_row +Calculations!D38, 'Budget Dashboard'!$X:$X, 0))=0,"",
        INDEX('Budget Dashboard'!$K:$K, MATCH(income_header_row +Calculations!D38, 'Budget Dashboard'!$X:$X, 0))))</f>
        <v/>
      </c>
      <c r="H38" s="89">
        <v>4</v>
      </c>
      <c r="I38" s="100" t="str" cm="1">
        <f t="array" aca="1" ref="I38" ca="1">IF(J38="", "",  INDEX('Budget Dashboard'!$J:$J, MATCH(expenses_header_row +Calculations!H38, 'Budget Dashboard'!$X:$X, 0)))</f>
        <v>Family Tax</v>
      </c>
      <c r="J38" s="78" cm="1">
        <f t="array" aca="1" ref="J38" ca="1">IF(H39&gt;COUNTA(Expenses[]), "",
     IF(INDEX('Budget Dashboard'!$K:$K, MATCH(expenses_header_row+Calculations!H39, 'Budget Dashboard'!$X:$X, 0))=0,"",
        INDEX('Budget Dashboard'!$K:$K, MATCH(expenses_header_row +Calculations!H39, 'Budget Dashboard'!$X:$X, 0))))</f>
        <v>400</v>
      </c>
      <c r="L38" s="89">
        <v>4</v>
      </c>
      <c r="M38" s="100" t="str" cm="1">
        <f t="array" aca="1" ref="M38" ca="1">IF(N38="", "",  INDEX('Budget Dashboard'!$J:$J, MATCH(savings_header_row +Calculations!L38, 'Budget Dashboard'!$X:$X, 0)))</f>
        <v/>
      </c>
      <c r="N38" s="78" t="str" cm="1">
        <f t="array" aca="1" ref="N38" ca="1">IF(L38&gt;COUNTA(Savings[]), "",
     IF(INDEX('Budget Dashboard'!$K:$K, MATCH(savings_header_row +Calculations!L38, 'Budget Dashboard'!$X:$X, 0))=0,"",
        INDEX('Budget Dashboard'!$K:$K, MATCH(savings_header_row +Calculations!L38, 'Budget Dashboard'!$X:$X, 0))))</f>
        <v/>
      </c>
    </row>
    <row r="39" spans="4:14" x14ac:dyDescent="0.25">
      <c r="D39" s="89">
        <v>5</v>
      </c>
      <c r="E39" s="100" t="str" cm="1">
        <f t="array" ref="E39">IF(F39="", "",  INDEX('Budget Dashboard'!$J:$J, MATCH(income_header_row +Calculations!D39, 'Budget Dashboard'!$X:$X, 0)))</f>
        <v/>
      </c>
      <c r="F39" s="78" t="str" cm="1">
        <f t="array" ref="F39">IF(D39&gt;COUNTA(Income[]), "",
     IF(INDEX('Budget Dashboard'!$K:$K, MATCH(income_header_row +Calculations!D39, 'Budget Dashboard'!$X:$X, 0))=0,"",
        INDEX('Budget Dashboard'!$K:$K, MATCH(income_header_row +Calculations!D39, 'Budget Dashboard'!$X:$X, 0))))</f>
        <v/>
      </c>
      <c r="H39" s="89">
        <v>5</v>
      </c>
      <c r="I39" s="100" t="str" cm="1">
        <f t="array" aca="1" ref="I39" ca="1">IF(J39="", "",  INDEX('Budget Dashboard'!$J:$J, MATCH(expenses_header_row +Calculations!H39, 'Budget Dashboard'!$X:$X, 0)))</f>
        <v>Groceries</v>
      </c>
      <c r="J39" s="78" cm="1">
        <f t="array" aca="1" ref="J39" ca="1">IF(H40&gt;COUNTA(Expenses[]), "",
     IF(INDEX('Budget Dashboard'!$K:$K, MATCH(expenses_header_row+Calculations!H40, 'Budget Dashboard'!$X:$X, 0))=0,"",
        INDEX('Budget Dashboard'!$K:$K, MATCH(expenses_header_row +Calculations!H40, 'Budget Dashboard'!$X:$X, 0))))</f>
        <v>200</v>
      </c>
      <c r="L39" s="89">
        <v>5</v>
      </c>
      <c r="M39" s="100" t="str" cm="1">
        <f t="array" aca="1" ref="M39" ca="1">IF(N39="", "",  INDEX('Budget Dashboard'!$J:$J, MATCH(savings_header_row +Calculations!L39, 'Budget Dashboard'!$X:$X, 0)))</f>
        <v/>
      </c>
      <c r="N39" s="78" t="str" cm="1">
        <f t="array" aca="1" ref="N39" ca="1">IF(L39&gt;COUNTA(Savings[]), "",
     IF(INDEX('Budget Dashboard'!$K:$K, MATCH(savings_header_row +Calculations!L39, 'Budget Dashboard'!$X:$X, 0))=0,"",
        INDEX('Budget Dashboard'!$K:$K, MATCH(savings_header_row +Calculations!L39, 'Budget Dashboard'!$X:$X, 0))))</f>
        <v/>
      </c>
    </row>
    <row r="40" spans="4:14" ht="14.4" thickBot="1" x14ac:dyDescent="0.3">
      <c r="D40" s="90">
        <v>6</v>
      </c>
      <c r="E40" s="90" t="str">
        <f ca="1">IF(F40="", "", "Other")</f>
        <v/>
      </c>
      <c r="F40" s="92" t="str">
        <f ca="1">IF(F41-SUM(F35:F39) =0, "", F41-SUM(F35:F39))</f>
        <v/>
      </c>
      <c r="H40" s="90">
        <v>6</v>
      </c>
      <c r="I40" s="90" t="str">
        <f ca="1">IF(J40="", "", "Other")</f>
        <v>Other</v>
      </c>
      <c r="J40" s="92">
        <f ca="1">IF(J41-SUM(J35:J39) =0, "", J41-SUM(J35:J39))</f>
        <v>1450</v>
      </c>
      <c r="L40" s="90">
        <v>6</v>
      </c>
      <c r="M40" s="90" t="str">
        <f ca="1">IF(N40="", "", "Other")</f>
        <v/>
      </c>
      <c r="N40" s="92" t="str">
        <f ca="1">IF(N41-SUM(N35:N39) =0, "", N41-SUM(N35:N39))</f>
        <v/>
      </c>
    </row>
    <row r="41" spans="4:14" ht="14.4" thickTop="1" x14ac:dyDescent="0.25">
      <c r="D41" s="89"/>
      <c r="E41" s="91" t="s">
        <v>4</v>
      </c>
      <c r="F41" s="99" cm="1">
        <f t="array" aca="1" ref="F41" ca="1">INDEX('Budget Dashboard'!$K:$K, MATCH(income_total_row, 'Budget Dashboard'!$X:$X, 0))</f>
        <v>4100</v>
      </c>
      <c r="H41" s="89"/>
      <c r="I41" s="91" t="s">
        <v>4</v>
      </c>
      <c r="J41" s="99" cm="1">
        <f t="array" aca="1" ref="J41" ca="1">INDEX('Budget Dashboard'!$K:$K, MATCH(expenses_total_row, 'Budget Dashboard'!$X:$X, 0))</f>
        <v>3950</v>
      </c>
      <c r="L41" s="89"/>
      <c r="M41" s="91" t="s">
        <v>4</v>
      </c>
      <c r="N41" s="99" cm="1">
        <f t="array" aca="1" ref="N41" ca="1">INDEX('Budget Dashboard'!$K:$K, MATCH(savings_total_row, 'Budget Dashboard'!$X:$X, 0))</f>
        <v>100</v>
      </c>
    </row>
    <row r="47" spans="4:14" ht="28.05" customHeight="1" x14ac:dyDescent="0.25">
      <c r="D47" s="155" t="s">
        <v>87</v>
      </c>
      <c r="E47" s="156"/>
      <c r="F47" s="87"/>
      <c r="G47" s="87"/>
      <c r="H47" s="87"/>
      <c r="I47" s="87"/>
      <c r="J47" s="87"/>
      <c r="K47" s="87"/>
      <c r="L47" s="87"/>
      <c r="M47" s="87"/>
      <c r="N47" s="87"/>
    </row>
    <row r="49" spans="4:18" x14ac:dyDescent="0.25">
      <c r="D49" s="105" t="s">
        <v>103</v>
      </c>
      <c r="E49" s="106" t="b">
        <v>1</v>
      </c>
    </row>
    <row r="50" spans="4:18" x14ac:dyDescent="0.25">
      <c r="D50" s="105" t="s">
        <v>102</v>
      </c>
      <c r="E50" s="106" t="b">
        <v>1</v>
      </c>
    </row>
    <row r="51" spans="4:18" ht="18.45" customHeight="1" x14ac:dyDescent="0.25">
      <c r="D51" s="105" t="s">
        <v>101</v>
      </c>
      <c r="E51" s="106" t="b">
        <v>1</v>
      </c>
    </row>
    <row r="52" spans="4:18" x14ac:dyDescent="0.25">
      <c r="D52" s="105" t="s">
        <v>104</v>
      </c>
      <c r="E52" s="106" t="b">
        <v>1</v>
      </c>
    </row>
    <row r="53" spans="4:18" x14ac:dyDescent="0.25">
      <c r="M53" s="144" t="s">
        <v>96</v>
      </c>
      <c r="N53" s="159"/>
      <c r="O53" s="159"/>
      <c r="P53" s="160" t="s">
        <v>100</v>
      </c>
      <c r="Q53" s="160"/>
      <c r="R53" s="160"/>
    </row>
    <row r="54" spans="4:18" s="91" customFormat="1" x14ac:dyDescent="0.25">
      <c r="D54" s="88" t="s">
        <v>88</v>
      </c>
      <c r="E54" s="88" t="s">
        <v>3</v>
      </c>
      <c r="F54" s="88" t="s">
        <v>89</v>
      </c>
      <c r="G54" s="88" t="s">
        <v>90</v>
      </c>
      <c r="H54" s="88" t="s">
        <v>91</v>
      </c>
      <c r="I54" s="88" t="s">
        <v>92</v>
      </c>
      <c r="J54" s="88" t="s">
        <v>93</v>
      </c>
      <c r="K54" s="88" t="s">
        <v>94</v>
      </c>
      <c r="L54" s="88" t="s">
        <v>95</v>
      </c>
      <c r="M54" s="88" t="s">
        <v>97</v>
      </c>
      <c r="N54" s="88" t="s">
        <v>98</v>
      </c>
      <c r="O54" s="88" t="s">
        <v>99</v>
      </c>
      <c r="P54" s="88" t="s">
        <v>97</v>
      </c>
      <c r="Q54" s="88" t="s">
        <v>98</v>
      </c>
      <c r="R54" s="88" t="s">
        <v>99</v>
      </c>
    </row>
    <row r="55" spans="4:18" ht="13.05" customHeight="1" x14ac:dyDescent="0.25">
      <c r="D55" s="161">
        <f>DATE(selected_year, 1,1)</f>
        <v>45658</v>
      </c>
      <c r="E55" s="102" t="s">
        <v>0</v>
      </c>
      <c r="F55" s="102">
        <f>MONTH(D55)</f>
        <v>1</v>
      </c>
      <c r="G55" s="102">
        <f>IF(selected_period = "Total Year", 1, IF(selected_period=cc_month_number, 1,0))</f>
        <v>0</v>
      </c>
      <c r="H55" s="102">
        <f>1*$E$49</f>
        <v>1</v>
      </c>
      <c r="I55" s="102">
        <f>1*$E$52</f>
        <v>1</v>
      </c>
      <c r="J55" s="94" cm="1">
        <f t="array" ref="J55">SUM(Tracking[Amount] * (Tracking[Type]=cc_type) * (YEAR(Tracking[Effective Date])=selected_year) * (MONTH(Tracking[Effective Date])=cc_month_number))</f>
        <v>0</v>
      </c>
      <c r="K55" s="94" cm="1">
        <f t="array" aca="1" ref="K55" ca="1" xml:space="preserve"> INDEX('Budget Planning'!$E:$EM, income_total_row, MATCH(DATE(selected_year, cc_month_number, 1), 'Budget Planning'!$E$9:$EM$9, 0))</f>
        <v>3800</v>
      </c>
      <c r="L55" s="94">
        <f ca="1">cc_budget-cc_tracked</f>
        <v>3800</v>
      </c>
      <c r="M55" s="89">
        <f ca="1">cc_in_focus*cc_show_type*MIN(cc_tracked, cc_budget)</f>
        <v>0</v>
      </c>
      <c r="N55" s="94">
        <f ca="1">cc_in_focus*cc_show_type*cc_show_remaining_budget*IF(cc_delta&gt;0, cc_delta, 0)</f>
        <v>0</v>
      </c>
      <c r="O55" s="108">
        <f ca="1">cc_in_focus*cc_show_type*IF(cc_delta&lt;0, ABS(cc_delta),0)</f>
        <v>0</v>
      </c>
      <c r="P55" s="108">
        <f t="shared" ref="P55:P102" ca="1" si="0">NOT(cc_in_focus)*cc_show_type*MIN(cc_tracked, cc_budget)</f>
        <v>0</v>
      </c>
      <c r="Q55" s="104">
        <f t="shared" ref="Q55:Q102" ca="1" si="1">NOT(cc_in_focus)*cc_show_type*cc_show_remaining_budget*IF(cc_delta&gt;0, cc_delta, 0)</f>
        <v>3800</v>
      </c>
      <c r="R55" s="132">
        <f t="shared" ref="R55:R102" ca="1" si="2">NOT(cc_in_focus)*cc_show_type*IF(cc_delta&lt;0, ABS(cc_delta),0)</f>
        <v>0</v>
      </c>
    </row>
    <row r="56" spans="4:18" ht="13.05" customHeight="1" x14ac:dyDescent="0.25">
      <c r="D56" s="161"/>
      <c r="E56" s="102" t="s">
        <v>1</v>
      </c>
      <c r="F56" s="102">
        <f>MONTH(D55)</f>
        <v>1</v>
      </c>
      <c r="G56" s="102">
        <f>IF(selected_period = "Total Year", 1, IF(selected_period=cc_month_number, 1,0))</f>
        <v>0</v>
      </c>
      <c r="H56" s="102">
        <f>1*$E$50</f>
        <v>1</v>
      </c>
      <c r="I56" s="102">
        <f t="shared" ref="I56:I57" si="3">1*$E$52</f>
        <v>1</v>
      </c>
      <c r="J56" s="94" cm="1">
        <f t="array" ref="J56">SUM(Tracking[Amount] * (Tracking[Type]=cc_type) * (YEAR(Tracking[Effective Date])=selected_year) * (MONTH(Tracking[Effective Date])=cc_month_number))</f>
        <v>0</v>
      </c>
      <c r="K56" s="94" cm="1">
        <f t="array" aca="1" ref="K56" ca="1" xml:space="preserve"> INDEX('Budget Planning'!$E:$EM, expenses_total_row, MATCH(DATE(selected_year, cc_month_number, 1), 'Budget Planning'!$E$9:$EM$9, 0))</f>
        <v>2800</v>
      </c>
      <c r="L56" s="94">
        <f ca="1">cc_budget-cc_tracked</f>
        <v>2800</v>
      </c>
      <c r="M56" s="89">
        <f ca="1">cc_in_focus*cc_show_type*MIN(cc_tracked, cc_budget)</f>
        <v>0</v>
      </c>
      <c r="N56" s="94">
        <f ca="1">cc_in_focus*cc_show_type*cc_show_remaining_budget*IF(cc_delta&gt;0, cc_delta, 0)</f>
        <v>0</v>
      </c>
      <c r="O56" s="108">
        <f ca="1">cc_in_focus*cc_show_type*IF(cc_delta&lt;0, ABS(cc_delta),0)</f>
        <v>0</v>
      </c>
      <c r="P56" s="108">
        <f t="shared" ca="1" si="0"/>
        <v>0</v>
      </c>
      <c r="Q56" s="94">
        <f t="shared" ca="1" si="1"/>
        <v>2800</v>
      </c>
      <c r="R56" s="108">
        <f t="shared" ca="1" si="2"/>
        <v>0</v>
      </c>
    </row>
    <row r="57" spans="4:18" ht="13.05" customHeight="1" x14ac:dyDescent="0.25">
      <c r="D57" s="161"/>
      <c r="E57" s="102" t="s">
        <v>2</v>
      </c>
      <c r="F57" s="102">
        <f>MONTH(D55)</f>
        <v>1</v>
      </c>
      <c r="G57" s="102">
        <f>IF(selected_period = "Total Year", 1, IF(selected_period=cc_month_number, 1,0))</f>
        <v>0</v>
      </c>
      <c r="H57" s="102">
        <f>1*$E$51</f>
        <v>1</v>
      </c>
      <c r="I57" s="102">
        <f t="shared" si="3"/>
        <v>1</v>
      </c>
      <c r="J57" s="94" cm="1">
        <f t="array" ref="J57">SUM(Tracking[Amount] * (Tracking[Type]=cc_type) * (YEAR(Tracking[Effective Date])=selected_year) * (MONTH(Tracking[Effective Date])=cc_month_number))</f>
        <v>0</v>
      </c>
      <c r="K57" s="94" cm="1">
        <f t="array" aca="1" ref="K57" ca="1" xml:space="preserve"> INDEX('Budget Planning'!$E:$EM, savings_total_row, MATCH(DATE(selected_year, cc_month_number, 1), 'Budget Planning'!$E$9:$EM$9, 0))</f>
        <v>1000</v>
      </c>
      <c r="L57" s="94">
        <f ca="1">cc_budget-cc_tracked</f>
        <v>1000</v>
      </c>
      <c r="M57" s="89">
        <f ca="1">cc_in_focus*cc_show_type*MIN(cc_tracked, cc_budget)</f>
        <v>0</v>
      </c>
      <c r="N57" s="94">
        <f ca="1">cc_in_focus*cc_show_type*cc_show_remaining_budget*IF(cc_delta&gt;0, cc_delta, 0)</f>
        <v>0</v>
      </c>
      <c r="O57" s="108">
        <f ca="1">cc_in_focus*cc_show_type*IF(cc_delta&lt;0, ABS(cc_delta),0)</f>
        <v>0</v>
      </c>
      <c r="P57" s="108">
        <f t="shared" ca="1" si="0"/>
        <v>0</v>
      </c>
      <c r="Q57" s="94">
        <f t="shared" ca="1" si="1"/>
        <v>1000</v>
      </c>
      <c r="R57" s="108">
        <f t="shared" ca="1" si="2"/>
        <v>0</v>
      </c>
    </row>
    <row r="58" spans="4:18" ht="13.05" customHeight="1" x14ac:dyDescent="0.25">
      <c r="D58" s="162"/>
      <c r="E58" s="103"/>
      <c r="F58" s="103"/>
      <c r="G58" s="103"/>
      <c r="H58" s="103"/>
      <c r="I58" s="103"/>
      <c r="J58" s="107"/>
      <c r="K58" s="107"/>
      <c r="L58" s="107"/>
      <c r="M58" s="103"/>
      <c r="N58" s="103"/>
      <c r="O58" s="103"/>
      <c r="P58" s="131">
        <f t="shared" si="0"/>
        <v>0</v>
      </c>
      <c r="Q58" s="107">
        <f t="shared" si="1"/>
        <v>0</v>
      </c>
      <c r="R58" s="131">
        <f t="shared" si="2"/>
        <v>0</v>
      </c>
    </row>
    <row r="59" spans="4:18" ht="13.05" customHeight="1" x14ac:dyDescent="0.25">
      <c r="D59" s="163">
        <f>DATE(selected_year, 2,1)</f>
        <v>45689</v>
      </c>
      <c r="E59" s="101" t="s">
        <v>0</v>
      </c>
      <c r="F59" s="102">
        <f t="shared" ref="F59" si="4">MONTH(D59)</f>
        <v>2</v>
      </c>
      <c r="G59" s="102">
        <f>IF(selected_period = "Total Year", 1, IF(selected_period=cc_month_number, 1,0))</f>
        <v>0</v>
      </c>
      <c r="H59" s="102">
        <f t="shared" ref="H59" si="5">1*$E$49</f>
        <v>1</v>
      </c>
      <c r="I59" s="102">
        <f t="shared" ref="I59:I101" si="6">1*$E$52</f>
        <v>1</v>
      </c>
      <c r="J59" s="94" cm="1">
        <f t="array" ref="J59">SUM(Tracking[Amount] * (Tracking[Type]=cc_type) * (YEAR(Tracking[Effective Date])=selected_year) * (MONTH(Tracking[Effective Date])=cc_month_number))</f>
        <v>0</v>
      </c>
      <c r="K59" s="94" cm="1">
        <f t="array" aca="1" ref="K59" ca="1" xml:space="preserve"> INDEX('Budget Planning'!$E:$EM, income_total_row, MATCH(DATE(selected_year, cc_month_number, 1), 'Budget Planning'!$E$9:$EM$9, 0))</f>
        <v>4600</v>
      </c>
      <c r="L59" s="94">
        <f ca="1">cc_budget-cc_tracked</f>
        <v>4600</v>
      </c>
      <c r="M59" s="89">
        <f ca="1">cc_in_focus*cc_show_type*MIN(cc_tracked, cc_budget)</f>
        <v>0</v>
      </c>
      <c r="N59" s="94">
        <f ca="1">cc_in_focus*cc_show_type*cc_show_remaining_budget*IF(cc_delta&gt;0, cc_delta, 0)</f>
        <v>0</v>
      </c>
      <c r="O59" s="108">
        <f ca="1">cc_in_focus*cc_show_type*IF(cc_delta&lt;0, ABS(cc_delta),0)</f>
        <v>0</v>
      </c>
      <c r="P59" s="108">
        <f t="shared" ca="1" si="0"/>
        <v>0</v>
      </c>
      <c r="Q59" s="104">
        <f t="shared" ca="1" si="1"/>
        <v>4600</v>
      </c>
      <c r="R59" s="108">
        <f t="shared" ca="1" si="2"/>
        <v>0</v>
      </c>
    </row>
    <row r="60" spans="4:18" ht="13.05" customHeight="1" x14ac:dyDescent="0.25">
      <c r="D60" s="161"/>
      <c r="E60" s="102" t="s">
        <v>1</v>
      </c>
      <c r="F60" s="102">
        <f t="shared" ref="F60" si="7">MONTH(D59)</f>
        <v>2</v>
      </c>
      <c r="G60" s="102">
        <f>IF(selected_period = "Total Year", 1, IF(selected_period=cc_month_number, 1,0))</f>
        <v>0</v>
      </c>
      <c r="H60" s="102">
        <f t="shared" ref="H60" si="8">1*$E$50</f>
        <v>1</v>
      </c>
      <c r="I60" s="102">
        <f t="shared" si="6"/>
        <v>1</v>
      </c>
      <c r="J60" s="94" cm="1">
        <f t="array" ref="J60">SUM(Tracking[Amount] * (Tracking[Type]=cc_type) * (YEAR(Tracking[Effective Date])=selected_year) * (MONTH(Tracking[Effective Date])=cc_month_number))</f>
        <v>0</v>
      </c>
      <c r="K60" s="94" cm="1">
        <f t="array" aca="1" ref="K60" ca="1" xml:space="preserve"> INDEX('Budget Planning'!$E:$EM, expenses_total_row, MATCH(DATE(selected_year, cc_month_number, 1), 'Budget Planning'!$E$9:$EM$9, 0))</f>
        <v>2800</v>
      </c>
      <c r="L60" s="94">
        <f ca="1">cc_budget-cc_tracked</f>
        <v>2800</v>
      </c>
      <c r="M60" s="89">
        <f ca="1">cc_in_focus*cc_show_type*MIN(cc_tracked, cc_budget)</f>
        <v>0</v>
      </c>
      <c r="N60" s="94">
        <f ca="1">cc_in_focus*cc_show_type*cc_show_remaining_budget*IF(cc_delta&gt;0, cc_delta, 0)</f>
        <v>0</v>
      </c>
      <c r="O60" s="108">
        <f ca="1">cc_in_focus*cc_show_type*IF(cc_delta&lt;0, ABS(cc_delta),0)</f>
        <v>0</v>
      </c>
      <c r="P60" s="108">
        <f t="shared" ca="1" si="0"/>
        <v>0</v>
      </c>
      <c r="Q60" s="94">
        <f t="shared" ca="1" si="1"/>
        <v>2800</v>
      </c>
      <c r="R60" s="108">
        <f t="shared" ca="1" si="2"/>
        <v>0</v>
      </c>
    </row>
    <row r="61" spans="4:18" ht="13.05" customHeight="1" x14ac:dyDescent="0.25">
      <c r="D61" s="161"/>
      <c r="E61" s="102" t="s">
        <v>2</v>
      </c>
      <c r="F61" s="102">
        <f t="shared" ref="F61" si="9">MONTH(D59)</f>
        <v>2</v>
      </c>
      <c r="G61" s="102">
        <f>IF(selected_period = "Total Year", 1, IF(selected_period=cc_month_number, 1,0))</f>
        <v>0</v>
      </c>
      <c r="H61" s="102">
        <f t="shared" ref="H61" si="10">1*$E$51</f>
        <v>1</v>
      </c>
      <c r="I61" s="102">
        <f t="shared" si="6"/>
        <v>1</v>
      </c>
      <c r="J61" s="94" cm="1">
        <f t="array" ref="J61">SUM(Tracking[Amount] * (Tracking[Type]=cc_type) * (YEAR(Tracking[Effective Date])=selected_year) * (MONTH(Tracking[Effective Date])=cc_month_number))</f>
        <v>0</v>
      </c>
      <c r="K61" s="94" cm="1">
        <f t="array" aca="1" ref="K61" ca="1" xml:space="preserve"> INDEX('Budget Planning'!$E:$EM, savings_total_row, MATCH(DATE(selected_year, cc_month_number, 1), 'Budget Planning'!$E$9:$EM$9, 0))</f>
        <v>1800</v>
      </c>
      <c r="L61" s="94">
        <f ca="1">cc_budget-cc_tracked</f>
        <v>1800</v>
      </c>
      <c r="M61" s="89">
        <f ca="1">cc_in_focus*cc_show_type*MIN(cc_tracked, cc_budget)</f>
        <v>0</v>
      </c>
      <c r="N61" s="94">
        <f ca="1">cc_in_focus*cc_show_type*cc_show_remaining_budget*IF(cc_delta&gt;0, cc_delta, 0)</f>
        <v>0</v>
      </c>
      <c r="O61" s="108">
        <f ca="1">cc_in_focus*cc_show_type*IF(cc_delta&lt;0, ABS(cc_delta),0)</f>
        <v>0</v>
      </c>
      <c r="P61" s="108">
        <f t="shared" ca="1" si="0"/>
        <v>0</v>
      </c>
      <c r="Q61" s="94">
        <f t="shared" ca="1" si="1"/>
        <v>1800</v>
      </c>
      <c r="R61" s="108">
        <f t="shared" ca="1" si="2"/>
        <v>0</v>
      </c>
    </row>
    <row r="62" spans="4:18" ht="13.05" customHeight="1" x14ac:dyDescent="0.25">
      <c r="D62" s="162"/>
      <c r="E62" s="103"/>
      <c r="F62" s="103"/>
      <c r="G62" s="103"/>
      <c r="H62" s="103"/>
      <c r="I62" s="103"/>
      <c r="J62" s="107"/>
      <c r="K62" s="107"/>
      <c r="L62" s="107"/>
      <c r="M62" s="103"/>
      <c r="N62" s="103"/>
      <c r="O62" s="103"/>
      <c r="P62" s="131">
        <f t="shared" si="0"/>
        <v>0</v>
      </c>
      <c r="Q62" s="107">
        <f t="shared" si="1"/>
        <v>0</v>
      </c>
      <c r="R62" s="108">
        <f t="shared" si="2"/>
        <v>0</v>
      </c>
    </row>
    <row r="63" spans="4:18" ht="13.05" customHeight="1" x14ac:dyDescent="0.25">
      <c r="D63" s="163">
        <f>DATE(selected_year, 3,1)</f>
        <v>45717</v>
      </c>
      <c r="E63" s="101" t="s">
        <v>0</v>
      </c>
      <c r="F63" s="102">
        <f t="shared" ref="F63" si="11">MONTH(D63)</f>
        <v>3</v>
      </c>
      <c r="G63" s="102">
        <f>IF(selected_period = "Total Year", 1, IF(selected_period=cc_month_number, 1,0))</f>
        <v>0</v>
      </c>
      <c r="H63" s="102">
        <f t="shared" ref="H63" si="12">1*$E$49</f>
        <v>1</v>
      </c>
      <c r="I63" s="102">
        <f t="shared" ref="I63" si="13">1*$E$52</f>
        <v>1</v>
      </c>
      <c r="J63" s="94" cm="1">
        <f t="array" ref="J63">SUM(Tracking[Amount] * (Tracking[Type]=cc_type) * (YEAR(Tracking[Effective Date])=selected_year) * (MONTH(Tracking[Effective Date])=cc_month_number))</f>
        <v>0</v>
      </c>
      <c r="K63" s="94" cm="1">
        <f t="array" aca="1" ref="K63" ca="1" xml:space="preserve"> INDEX('Budget Planning'!$E:$EM, income_total_row, MATCH(DATE(selected_year, cc_month_number, 1), 'Budget Planning'!$E$9:$EM$9, 0))</f>
        <v>2700</v>
      </c>
      <c r="L63" s="94">
        <f ca="1">cc_budget-cc_tracked</f>
        <v>2700</v>
      </c>
      <c r="M63" s="89">
        <f ca="1">cc_in_focus*cc_show_type*MIN(cc_tracked, cc_budget)</f>
        <v>0</v>
      </c>
      <c r="N63" s="94">
        <f ca="1">cc_in_focus*cc_show_type*cc_show_remaining_budget*IF(cc_delta&gt;0, cc_delta, 0)</f>
        <v>0</v>
      </c>
      <c r="O63" s="108">
        <f ca="1">cc_in_focus*cc_show_type*IF(cc_delta&lt;0, ABS(cc_delta),0)</f>
        <v>0</v>
      </c>
      <c r="P63" s="108">
        <f t="shared" ca="1" si="0"/>
        <v>0</v>
      </c>
      <c r="Q63" s="104">
        <f t="shared" ca="1" si="1"/>
        <v>2700</v>
      </c>
      <c r="R63" s="108">
        <f t="shared" ca="1" si="2"/>
        <v>0</v>
      </c>
    </row>
    <row r="64" spans="4:18" ht="13.05" customHeight="1" x14ac:dyDescent="0.25">
      <c r="D64" s="161"/>
      <c r="E64" s="102" t="s">
        <v>1</v>
      </c>
      <c r="F64" s="102">
        <f t="shared" ref="F64" si="14">MONTH(D63)</f>
        <v>3</v>
      </c>
      <c r="G64" s="102">
        <f>IF(selected_period = "Total Year", 1, IF(selected_period=cc_month_number, 1,0))</f>
        <v>0</v>
      </c>
      <c r="H64" s="102">
        <f t="shared" ref="H64" si="15">1*$E$50</f>
        <v>1</v>
      </c>
      <c r="I64" s="102">
        <f t="shared" si="6"/>
        <v>1</v>
      </c>
      <c r="J64" s="94" cm="1">
        <f t="array" ref="J64">SUM(Tracking[Amount] * (Tracking[Type]=cc_type) * (YEAR(Tracking[Effective Date])=selected_year) * (MONTH(Tracking[Effective Date])=cc_month_number))</f>
        <v>0</v>
      </c>
      <c r="K64" s="94" cm="1">
        <f t="array" aca="1" ref="K64" ca="1" xml:space="preserve"> INDEX('Budget Planning'!$E:$EM, expenses_total_row, MATCH(DATE(selected_year, cc_month_number, 1), 'Budget Planning'!$E$9:$EM$9, 0))</f>
        <v>2700</v>
      </c>
      <c r="L64" s="94">
        <f ca="1">cc_budget-cc_tracked</f>
        <v>2700</v>
      </c>
      <c r="M64" s="89">
        <f ca="1">cc_in_focus*cc_show_type*MIN(cc_tracked, cc_budget)</f>
        <v>0</v>
      </c>
      <c r="N64" s="94">
        <f ca="1">cc_in_focus*cc_show_type*cc_show_remaining_budget*IF(cc_delta&gt;0, cc_delta, 0)</f>
        <v>0</v>
      </c>
      <c r="O64" s="108">
        <f ca="1">cc_in_focus*cc_show_type*IF(cc_delta&lt;0, ABS(cc_delta),0)</f>
        <v>0</v>
      </c>
      <c r="P64" s="108">
        <f t="shared" ca="1" si="0"/>
        <v>0</v>
      </c>
      <c r="Q64" s="94">
        <f t="shared" ca="1" si="1"/>
        <v>2700</v>
      </c>
      <c r="R64" s="108">
        <f t="shared" ca="1" si="2"/>
        <v>0</v>
      </c>
    </row>
    <row r="65" spans="4:18" ht="13.05" customHeight="1" x14ac:dyDescent="0.25">
      <c r="D65" s="161"/>
      <c r="E65" s="102" t="s">
        <v>2</v>
      </c>
      <c r="F65" s="102">
        <f t="shared" ref="F65" si="16">MONTH(D63)</f>
        <v>3</v>
      </c>
      <c r="G65" s="102">
        <f>IF(selected_period = "Total Year", 1, IF(selected_period=cc_month_number, 1,0))</f>
        <v>0</v>
      </c>
      <c r="H65" s="102">
        <f t="shared" ref="H65" si="17">1*$E$51</f>
        <v>1</v>
      </c>
      <c r="I65" s="102">
        <f t="shared" si="6"/>
        <v>1</v>
      </c>
      <c r="J65" s="94" cm="1">
        <f t="array" ref="J65">SUM(Tracking[Amount] * (Tracking[Type]=cc_type) * (YEAR(Tracking[Effective Date])=selected_year) * (MONTH(Tracking[Effective Date])=cc_month_number))</f>
        <v>0</v>
      </c>
      <c r="K65" s="94" cm="1">
        <f t="array" aca="1" ref="K65" ca="1" xml:space="preserve"> INDEX('Budget Planning'!$E:$EM, savings_total_row, MATCH(DATE(selected_year, cc_month_number, 1), 'Budget Planning'!$E$9:$EM$9, 0))</f>
        <v>0</v>
      </c>
      <c r="L65" s="94">
        <f ca="1">cc_budget-cc_tracked</f>
        <v>0</v>
      </c>
      <c r="M65" s="89">
        <f ca="1">cc_in_focus*cc_show_type*MIN(cc_tracked, cc_budget)</f>
        <v>0</v>
      </c>
      <c r="N65" s="94">
        <f ca="1">cc_in_focus*cc_show_type*cc_show_remaining_budget*IF(cc_delta&gt;0, cc_delta, 0)</f>
        <v>0</v>
      </c>
      <c r="O65" s="108">
        <f ca="1">cc_in_focus*cc_show_type*IF(cc_delta&lt;0, ABS(cc_delta),0)</f>
        <v>0</v>
      </c>
      <c r="P65" s="108">
        <f t="shared" ca="1" si="0"/>
        <v>0</v>
      </c>
      <c r="Q65" s="94">
        <f t="shared" ca="1" si="1"/>
        <v>0</v>
      </c>
      <c r="R65" s="108">
        <f t="shared" ca="1" si="2"/>
        <v>0</v>
      </c>
    </row>
    <row r="66" spans="4:18" ht="13.05" customHeight="1" x14ac:dyDescent="0.25">
      <c r="D66" s="162"/>
      <c r="E66" s="103"/>
      <c r="F66" s="103"/>
      <c r="G66" s="103"/>
      <c r="H66" s="103"/>
      <c r="I66" s="103"/>
      <c r="J66" s="107"/>
      <c r="K66" s="107"/>
      <c r="L66" s="107"/>
      <c r="M66" s="103"/>
      <c r="N66" s="103"/>
      <c r="O66" s="103"/>
      <c r="P66" s="131">
        <f t="shared" si="0"/>
        <v>0</v>
      </c>
      <c r="Q66" s="107">
        <f t="shared" si="1"/>
        <v>0</v>
      </c>
      <c r="R66" s="108">
        <f t="shared" si="2"/>
        <v>0</v>
      </c>
    </row>
    <row r="67" spans="4:18" ht="13.05" customHeight="1" x14ac:dyDescent="0.25">
      <c r="D67" s="163">
        <f>DATE(selected_year, 4,1)</f>
        <v>45748</v>
      </c>
      <c r="E67" s="101" t="s">
        <v>0</v>
      </c>
      <c r="F67" s="102">
        <f t="shared" ref="F67" si="18">MONTH(D67)</f>
        <v>4</v>
      </c>
      <c r="G67" s="102">
        <f>IF(selected_period = "Total Year", 1, IF(selected_period=cc_month_number, 1,0))</f>
        <v>0</v>
      </c>
      <c r="H67" s="102">
        <f t="shared" ref="H67" si="19">1*$E$49</f>
        <v>1</v>
      </c>
      <c r="I67" s="102">
        <f t="shared" ref="I67" si="20">1*$E$52</f>
        <v>1</v>
      </c>
      <c r="J67" s="94" cm="1">
        <f t="array" ref="J67">SUM(Tracking[Amount] * (Tracking[Type]=cc_type) * (YEAR(Tracking[Effective Date])=selected_year) * (MONTH(Tracking[Effective Date])=cc_month_number))</f>
        <v>0</v>
      </c>
      <c r="K67" s="94" cm="1">
        <f t="array" aca="1" ref="K67" ca="1" xml:space="preserve"> INDEX('Budget Planning'!$E:$EM, income_total_row, MATCH(DATE(selected_year, cc_month_number, 1), 'Budget Planning'!$E$9:$EM$9, 0))</f>
        <v>2700</v>
      </c>
      <c r="L67" s="94">
        <f ca="1">cc_budget-cc_tracked</f>
        <v>2700</v>
      </c>
      <c r="M67" s="89">
        <f ca="1">cc_in_focus*cc_show_type*MIN(cc_tracked, cc_budget)</f>
        <v>0</v>
      </c>
      <c r="N67" s="94">
        <f ca="1">cc_in_focus*cc_show_type*cc_show_remaining_budget*IF(cc_delta&gt;0, cc_delta, 0)</f>
        <v>0</v>
      </c>
      <c r="O67" s="108">
        <f ca="1">cc_in_focus*cc_show_type*IF(cc_delta&lt;0, ABS(cc_delta),0)</f>
        <v>0</v>
      </c>
      <c r="P67" s="108">
        <f t="shared" ca="1" si="0"/>
        <v>0</v>
      </c>
      <c r="Q67" s="104">
        <f t="shared" ca="1" si="1"/>
        <v>2700</v>
      </c>
      <c r="R67" s="108">
        <f t="shared" ca="1" si="2"/>
        <v>0</v>
      </c>
    </row>
    <row r="68" spans="4:18" ht="13.05" customHeight="1" x14ac:dyDescent="0.25">
      <c r="D68" s="161"/>
      <c r="E68" s="102" t="s">
        <v>1</v>
      </c>
      <c r="F68" s="102">
        <f t="shared" ref="F68" si="21">MONTH(D67)</f>
        <v>4</v>
      </c>
      <c r="G68" s="102">
        <f>IF(selected_period = "Total Year", 1, IF(selected_period=cc_month_number, 1,0))</f>
        <v>0</v>
      </c>
      <c r="H68" s="102">
        <f t="shared" ref="H68" si="22">1*$E$50</f>
        <v>1</v>
      </c>
      <c r="I68" s="102">
        <f t="shared" si="6"/>
        <v>1</v>
      </c>
      <c r="J68" s="94" cm="1">
        <f t="array" ref="J68">SUM(Tracking[Amount] * (Tracking[Type]=cc_type) * (YEAR(Tracking[Effective Date])=selected_year) * (MONTH(Tracking[Effective Date])=cc_month_number))</f>
        <v>0</v>
      </c>
      <c r="K68" s="94" cm="1">
        <f t="array" aca="1" ref="K68" ca="1" xml:space="preserve"> INDEX('Budget Planning'!$E:$EM, expenses_total_row, MATCH(DATE(selected_year, cc_month_number, 1), 'Budget Planning'!$E$9:$EM$9, 0))</f>
        <v>2700</v>
      </c>
      <c r="L68" s="94">
        <f ca="1">cc_budget-cc_tracked</f>
        <v>2700</v>
      </c>
      <c r="M68" s="89">
        <f ca="1">cc_in_focus*cc_show_type*MIN(cc_tracked, cc_budget)</f>
        <v>0</v>
      </c>
      <c r="N68" s="94">
        <f ca="1">cc_in_focus*cc_show_type*cc_show_remaining_budget*IF(cc_delta&gt;0, cc_delta, 0)</f>
        <v>0</v>
      </c>
      <c r="O68" s="108">
        <f ca="1">cc_in_focus*cc_show_type*IF(cc_delta&lt;0, ABS(cc_delta),0)</f>
        <v>0</v>
      </c>
      <c r="P68" s="108">
        <f t="shared" ca="1" si="0"/>
        <v>0</v>
      </c>
      <c r="Q68" s="94">
        <f t="shared" ca="1" si="1"/>
        <v>2700</v>
      </c>
      <c r="R68" s="108">
        <f t="shared" ca="1" si="2"/>
        <v>0</v>
      </c>
    </row>
    <row r="69" spans="4:18" ht="13.05" customHeight="1" x14ac:dyDescent="0.25">
      <c r="D69" s="161"/>
      <c r="E69" s="102" t="s">
        <v>2</v>
      </c>
      <c r="F69" s="102">
        <f t="shared" ref="F69" si="23">MONTH(D67)</f>
        <v>4</v>
      </c>
      <c r="G69" s="102">
        <f>IF(selected_period = "Total Year", 1, IF(selected_period=cc_month_number, 1,0))</f>
        <v>0</v>
      </c>
      <c r="H69" s="102">
        <f t="shared" ref="H69" si="24">1*$E$51</f>
        <v>1</v>
      </c>
      <c r="I69" s="102">
        <f t="shared" si="6"/>
        <v>1</v>
      </c>
      <c r="J69" s="94" cm="1">
        <f t="array" ref="J69">SUM(Tracking[Amount] * (Tracking[Type]=cc_type) * (YEAR(Tracking[Effective Date])=selected_year) * (MONTH(Tracking[Effective Date])=cc_month_number))</f>
        <v>0</v>
      </c>
      <c r="K69" s="94" cm="1">
        <f t="array" aca="1" ref="K69" ca="1" xml:space="preserve"> INDEX('Budget Planning'!$E:$EM, savings_total_row, MATCH(DATE(selected_year, cc_month_number, 1), 'Budget Planning'!$E$9:$EM$9, 0))</f>
        <v>0</v>
      </c>
      <c r="L69" s="94">
        <f ca="1">cc_budget-cc_tracked</f>
        <v>0</v>
      </c>
      <c r="M69" s="89">
        <f ca="1">cc_in_focus*cc_show_type*MIN(cc_tracked, cc_budget)</f>
        <v>0</v>
      </c>
      <c r="N69" s="94">
        <f ca="1">cc_in_focus*cc_show_type*cc_show_remaining_budget*IF(cc_delta&gt;0, cc_delta, 0)</f>
        <v>0</v>
      </c>
      <c r="O69" s="108">
        <f ca="1">cc_in_focus*cc_show_type*IF(cc_delta&lt;0, ABS(cc_delta),0)</f>
        <v>0</v>
      </c>
      <c r="P69" s="108">
        <f t="shared" ca="1" si="0"/>
        <v>0</v>
      </c>
      <c r="Q69" s="94">
        <f t="shared" ca="1" si="1"/>
        <v>0</v>
      </c>
      <c r="R69" s="108">
        <f t="shared" ca="1" si="2"/>
        <v>0</v>
      </c>
    </row>
    <row r="70" spans="4:18" ht="13.05" customHeight="1" x14ac:dyDescent="0.25">
      <c r="D70" s="162"/>
      <c r="E70" s="103"/>
      <c r="F70" s="103"/>
      <c r="G70" s="103"/>
      <c r="H70" s="103"/>
      <c r="I70" s="103"/>
      <c r="J70" s="107"/>
      <c r="K70" s="107"/>
      <c r="L70" s="107"/>
      <c r="M70" s="103"/>
      <c r="N70" s="103"/>
      <c r="O70" s="103"/>
      <c r="P70" s="131">
        <f t="shared" si="0"/>
        <v>0</v>
      </c>
      <c r="Q70" s="107">
        <f t="shared" si="1"/>
        <v>0</v>
      </c>
      <c r="R70" s="108">
        <f t="shared" si="2"/>
        <v>0</v>
      </c>
    </row>
    <row r="71" spans="4:18" ht="13.05" customHeight="1" x14ac:dyDescent="0.25">
      <c r="D71" s="163">
        <f>DATE(selected_year, 5,1)</f>
        <v>45778</v>
      </c>
      <c r="E71" s="101" t="s">
        <v>0</v>
      </c>
      <c r="F71" s="102">
        <f t="shared" ref="F71" si="25">MONTH(D71)</f>
        <v>5</v>
      </c>
      <c r="G71" s="102">
        <f>IF(selected_period = "Total Year", 1, IF(selected_period=cc_month_number, 1,0))</f>
        <v>1</v>
      </c>
      <c r="H71" s="102">
        <f t="shared" ref="H71" si="26">1*$E$49</f>
        <v>1</v>
      </c>
      <c r="I71" s="102">
        <f t="shared" ref="I71" si="27">1*$E$52</f>
        <v>1</v>
      </c>
      <c r="J71" s="94" cm="1">
        <f t="array" ref="J71">SUM(Tracking[Amount] * (Tracking[Type]=cc_type) * (YEAR(Tracking[Effective Date])=selected_year) * (MONTH(Tracking[Effective Date])=cc_month_number))</f>
        <v>4100</v>
      </c>
      <c r="K71" s="94" cm="1">
        <f t="array" aca="1" ref="K71" ca="1" xml:space="preserve"> INDEX('Budget Planning'!$E:$EM, income_total_row, MATCH(DATE(selected_year, cc_month_number, 1), 'Budget Planning'!$E$9:$EM$9, 0))</f>
        <v>2700</v>
      </c>
      <c r="L71" s="94">
        <f ca="1">cc_budget-cc_tracked</f>
        <v>-1400</v>
      </c>
      <c r="M71" s="89">
        <f ca="1">cc_in_focus*cc_show_type*MIN(cc_tracked, cc_budget)</f>
        <v>2700</v>
      </c>
      <c r="N71" s="94">
        <f ca="1">cc_in_focus*cc_show_type*cc_show_remaining_budget*IF(cc_delta&gt;0, cc_delta, 0)</f>
        <v>0</v>
      </c>
      <c r="O71" s="108">
        <f ca="1">cc_in_focus*cc_show_type*IF(cc_delta&lt;0, ABS(cc_delta),0)</f>
        <v>1400</v>
      </c>
      <c r="P71" s="108">
        <f t="shared" ca="1" si="0"/>
        <v>0</v>
      </c>
      <c r="Q71" s="104">
        <f t="shared" ca="1" si="1"/>
        <v>0</v>
      </c>
      <c r="R71" s="108">
        <f t="shared" ca="1" si="2"/>
        <v>0</v>
      </c>
    </row>
    <row r="72" spans="4:18" ht="13.05" customHeight="1" x14ac:dyDescent="0.25">
      <c r="D72" s="161"/>
      <c r="E72" s="102" t="s">
        <v>1</v>
      </c>
      <c r="F72" s="102">
        <f t="shared" ref="F72" si="28">MONTH(D71)</f>
        <v>5</v>
      </c>
      <c r="G72" s="102">
        <f>IF(selected_period = "Total Year", 1, IF(selected_period=cc_month_number, 1,0))</f>
        <v>1</v>
      </c>
      <c r="H72" s="102">
        <f t="shared" ref="H72" si="29">1*$E$50</f>
        <v>1</v>
      </c>
      <c r="I72" s="102">
        <f t="shared" si="6"/>
        <v>1</v>
      </c>
      <c r="J72" s="94" cm="1">
        <f t="array" ref="J72">SUM(Tracking[Amount] * (Tracking[Type]=cc_type) * (YEAR(Tracking[Effective Date])=selected_year) * (MONTH(Tracking[Effective Date])=cc_month_number))</f>
        <v>3950</v>
      </c>
      <c r="K72" s="94" cm="1">
        <f t="array" aca="1" ref="K72" ca="1" xml:space="preserve"> INDEX('Budget Planning'!$E:$EM, expenses_total_row, MATCH(DATE(selected_year, cc_month_number, 1), 'Budget Planning'!$E$9:$EM$9, 0))</f>
        <v>2700</v>
      </c>
      <c r="L72" s="94">
        <f ca="1">cc_budget-cc_tracked</f>
        <v>-1250</v>
      </c>
      <c r="M72" s="89">
        <f ca="1">cc_in_focus*cc_show_type*MIN(cc_tracked, cc_budget)</f>
        <v>2700</v>
      </c>
      <c r="N72" s="94">
        <f ca="1">cc_in_focus*cc_show_type*cc_show_remaining_budget*IF(cc_delta&gt;0, cc_delta, 0)</f>
        <v>0</v>
      </c>
      <c r="O72" s="108">
        <f ca="1">cc_in_focus*cc_show_type*IF(cc_delta&lt;0, ABS(cc_delta),0)</f>
        <v>1250</v>
      </c>
      <c r="P72" s="108">
        <f t="shared" ca="1" si="0"/>
        <v>0</v>
      </c>
      <c r="Q72" s="94">
        <f t="shared" ca="1" si="1"/>
        <v>0</v>
      </c>
      <c r="R72" s="108">
        <f t="shared" ca="1" si="2"/>
        <v>0</v>
      </c>
    </row>
    <row r="73" spans="4:18" ht="13.05" customHeight="1" x14ac:dyDescent="0.25">
      <c r="D73" s="161"/>
      <c r="E73" s="102" t="s">
        <v>2</v>
      </c>
      <c r="F73" s="102">
        <f t="shared" ref="F73" si="30">MONTH(D71)</f>
        <v>5</v>
      </c>
      <c r="G73" s="102">
        <f>IF(selected_period = "Total Year", 1, IF(selected_period=cc_month_number, 1,0))</f>
        <v>1</v>
      </c>
      <c r="H73" s="102">
        <f t="shared" ref="H73" si="31">1*$E$51</f>
        <v>1</v>
      </c>
      <c r="I73" s="102">
        <f t="shared" si="6"/>
        <v>1</v>
      </c>
      <c r="J73" s="94" cm="1">
        <f t="array" ref="J73">SUM(Tracking[Amount] * (Tracking[Type]=cc_type) * (YEAR(Tracking[Effective Date])=selected_year) * (MONTH(Tracking[Effective Date])=cc_month_number))</f>
        <v>100</v>
      </c>
      <c r="K73" s="94" cm="1">
        <f t="array" aca="1" ref="K73" ca="1" xml:space="preserve"> INDEX('Budget Planning'!$E:$EM, savings_total_row, MATCH(DATE(selected_year, cc_month_number, 1), 'Budget Planning'!$E$9:$EM$9, 0))</f>
        <v>0</v>
      </c>
      <c r="L73" s="94">
        <f ca="1">cc_budget-cc_tracked</f>
        <v>-100</v>
      </c>
      <c r="M73" s="89">
        <f ca="1">cc_in_focus*cc_show_type*MIN(cc_tracked, cc_budget)</f>
        <v>0</v>
      </c>
      <c r="N73" s="94">
        <f ca="1">cc_in_focus*cc_show_type*cc_show_remaining_budget*IF(cc_delta&gt;0, cc_delta, 0)</f>
        <v>0</v>
      </c>
      <c r="O73" s="108">
        <f ca="1">cc_in_focus*cc_show_type*IF(cc_delta&lt;0, ABS(cc_delta),0)</f>
        <v>100</v>
      </c>
      <c r="P73" s="108">
        <f t="shared" ca="1" si="0"/>
        <v>0</v>
      </c>
      <c r="Q73" s="94">
        <f t="shared" ca="1" si="1"/>
        <v>0</v>
      </c>
      <c r="R73" s="108">
        <f t="shared" ca="1" si="2"/>
        <v>0</v>
      </c>
    </row>
    <row r="74" spans="4:18" ht="13.05" customHeight="1" x14ac:dyDescent="0.25">
      <c r="D74" s="162"/>
      <c r="E74" s="103"/>
      <c r="F74" s="103"/>
      <c r="G74" s="103"/>
      <c r="H74" s="103"/>
      <c r="I74" s="103"/>
      <c r="J74" s="107"/>
      <c r="K74" s="107"/>
      <c r="L74" s="107"/>
      <c r="M74" s="103"/>
      <c r="N74" s="103"/>
      <c r="O74" s="103"/>
      <c r="P74" s="131">
        <f t="shared" si="0"/>
        <v>0</v>
      </c>
      <c r="Q74" s="107">
        <f t="shared" si="1"/>
        <v>0</v>
      </c>
      <c r="R74" s="108">
        <f t="shared" si="2"/>
        <v>0</v>
      </c>
    </row>
    <row r="75" spans="4:18" ht="13.05" customHeight="1" x14ac:dyDescent="0.25">
      <c r="D75" s="163">
        <f>DATE(selected_year, 6,1)</f>
        <v>45809</v>
      </c>
      <c r="E75" s="101" t="s">
        <v>0</v>
      </c>
      <c r="F75" s="102">
        <f t="shared" ref="F75" si="32">MONTH(D75)</f>
        <v>6</v>
      </c>
      <c r="G75" s="102">
        <f>IF(selected_period = "Total Year", 1, IF(selected_period=cc_month_number, 1,0))</f>
        <v>0</v>
      </c>
      <c r="H75" s="102">
        <f t="shared" ref="H75" si="33">1*$E$49</f>
        <v>1</v>
      </c>
      <c r="I75" s="102">
        <f t="shared" ref="I75" si="34">1*$E$52</f>
        <v>1</v>
      </c>
      <c r="J75" s="94" cm="1">
        <f t="array" ref="J75">SUM(Tracking[Amount] * (Tracking[Type]=cc_type) * (YEAR(Tracking[Effective Date])=selected_year) * (MONTH(Tracking[Effective Date])=cc_month_number))</f>
        <v>0</v>
      </c>
      <c r="K75" s="94" cm="1">
        <f t="array" aca="1" ref="K75" ca="1" xml:space="preserve"> INDEX('Budget Planning'!$E:$EM, income_total_row, MATCH(DATE(selected_year, cc_month_number, 1), 'Budget Planning'!$E$9:$EM$9, 0))</f>
        <v>2700</v>
      </c>
      <c r="L75" s="94">
        <f ca="1">cc_budget-cc_tracked</f>
        <v>2700</v>
      </c>
      <c r="M75" s="89">
        <f ca="1">cc_in_focus*cc_show_type*MIN(cc_tracked, cc_budget)</f>
        <v>0</v>
      </c>
      <c r="N75" s="94">
        <f ca="1">cc_in_focus*cc_show_type*cc_show_remaining_budget*IF(cc_delta&gt;0, cc_delta, 0)</f>
        <v>0</v>
      </c>
      <c r="O75" s="108">
        <f ca="1">cc_in_focus*cc_show_type*IF(cc_delta&lt;0, ABS(cc_delta),0)</f>
        <v>0</v>
      </c>
      <c r="P75" s="108">
        <f t="shared" ca="1" si="0"/>
        <v>0</v>
      </c>
      <c r="Q75" s="104">
        <f t="shared" ca="1" si="1"/>
        <v>2700</v>
      </c>
      <c r="R75" s="108">
        <f t="shared" ca="1" si="2"/>
        <v>0</v>
      </c>
    </row>
    <row r="76" spans="4:18" ht="13.05" customHeight="1" x14ac:dyDescent="0.25">
      <c r="D76" s="161"/>
      <c r="E76" s="102" t="s">
        <v>1</v>
      </c>
      <c r="F76" s="102">
        <f t="shared" ref="F76" si="35">MONTH(D75)</f>
        <v>6</v>
      </c>
      <c r="G76" s="102">
        <f>IF(selected_period = "Total Year", 1, IF(selected_period=cc_month_number, 1,0))</f>
        <v>0</v>
      </c>
      <c r="H76" s="102">
        <f t="shared" ref="H76" si="36">1*$E$50</f>
        <v>1</v>
      </c>
      <c r="I76" s="102">
        <f t="shared" si="6"/>
        <v>1</v>
      </c>
      <c r="J76" s="94" cm="1">
        <f t="array" ref="J76">SUM(Tracking[Amount] * (Tracking[Type]=cc_type) * (YEAR(Tracking[Effective Date])=selected_year) * (MONTH(Tracking[Effective Date])=cc_month_number))</f>
        <v>0</v>
      </c>
      <c r="K76" s="94" cm="1">
        <f t="array" aca="1" ref="K76" ca="1" xml:space="preserve"> INDEX('Budget Planning'!$E:$EM, expenses_total_row, MATCH(DATE(selected_year, cc_month_number, 1), 'Budget Planning'!$E$9:$EM$9, 0))</f>
        <v>2700</v>
      </c>
      <c r="L76" s="94">
        <f ca="1">cc_budget-cc_tracked</f>
        <v>2700</v>
      </c>
      <c r="M76" s="89">
        <f ca="1">cc_in_focus*cc_show_type*MIN(cc_tracked, cc_budget)</f>
        <v>0</v>
      </c>
      <c r="N76" s="94">
        <f ca="1">cc_in_focus*cc_show_type*cc_show_remaining_budget*IF(cc_delta&gt;0, cc_delta, 0)</f>
        <v>0</v>
      </c>
      <c r="O76" s="108">
        <f ca="1">cc_in_focus*cc_show_type*IF(cc_delta&lt;0, ABS(cc_delta),0)</f>
        <v>0</v>
      </c>
      <c r="P76" s="108">
        <f t="shared" ca="1" si="0"/>
        <v>0</v>
      </c>
      <c r="Q76" s="94">
        <f t="shared" ca="1" si="1"/>
        <v>2700</v>
      </c>
      <c r="R76" s="108">
        <f t="shared" ca="1" si="2"/>
        <v>0</v>
      </c>
    </row>
    <row r="77" spans="4:18" ht="13.05" customHeight="1" x14ac:dyDescent="0.25">
      <c r="D77" s="161"/>
      <c r="E77" s="102" t="s">
        <v>2</v>
      </c>
      <c r="F77" s="102">
        <f t="shared" ref="F77" si="37">MONTH(D75)</f>
        <v>6</v>
      </c>
      <c r="G77" s="102">
        <f>IF(selected_period = "Total Year", 1, IF(selected_period=cc_month_number, 1,0))</f>
        <v>0</v>
      </c>
      <c r="H77" s="102">
        <f t="shared" ref="H77" si="38">1*$E$51</f>
        <v>1</v>
      </c>
      <c r="I77" s="102">
        <f t="shared" si="6"/>
        <v>1</v>
      </c>
      <c r="J77" s="94" cm="1">
        <f t="array" ref="J77">SUM(Tracking[Amount] * (Tracking[Type]=cc_type) * (YEAR(Tracking[Effective Date])=selected_year) * (MONTH(Tracking[Effective Date])=cc_month_number))</f>
        <v>0</v>
      </c>
      <c r="K77" s="94" cm="1">
        <f t="array" aca="1" ref="K77" ca="1" xml:space="preserve"> INDEX('Budget Planning'!$E:$EM, savings_total_row, MATCH(DATE(selected_year, cc_month_number, 1), 'Budget Planning'!$E$9:$EM$9, 0))</f>
        <v>0</v>
      </c>
      <c r="L77" s="94">
        <f ca="1">cc_budget-cc_tracked</f>
        <v>0</v>
      </c>
      <c r="M77" s="89">
        <f ca="1">cc_in_focus*cc_show_type*MIN(cc_tracked, cc_budget)</f>
        <v>0</v>
      </c>
      <c r="N77" s="94">
        <f ca="1">cc_in_focus*cc_show_type*cc_show_remaining_budget*IF(cc_delta&gt;0, cc_delta, 0)</f>
        <v>0</v>
      </c>
      <c r="O77" s="108">
        <f ca="1">cc_in_focus*cc_show_type*IF(cc_delta&lt;0, ABS(cc_delta),0)</f>
        <v>0</v>
      </c>
      <c r="P77" s="108">
        <f t="shared" ca="1" si="0"/>
        <v>0</v>
      </c>
      <c r="Q77" s="94">
        <f t="shared" ca="1" si="1"/>
        <v>0</v>
      </c>
      <c r="R77" s="108">
        <f t="shared" ca="1" si="2"/>
        <v>0</v>
      </c>
    </row>
    <row r="78" spans="4:18" ht="13.05" customHeight="1" x14ac:dyDescent="0.25">
      <c r="D78" s="162"/>
      <c r="E78" s="103"/>
      <c r="F78" s="103"/>
      <c r="G78" s="103"/>
      <c r="H78" s="103"/>
      <c r="I78" s="103"/>
      <c r="J78" s="107"/>
      <c r="K78" s="107"/>
      <c r="L78" s="107"/>
      <c r="M78" s="103"/>
      <c r="N78" s="103"/>
      <c r="O78" s="103"/>
      <c r="P78" s="131">
        <f t="shared" si="0"/>
        <v>0</v>
      </c>
      <c r="Q78" s="107">
        <f t="shared" si="1"/>
        <v>0</v>
      </c>
      <c r="R78" s="108">
        <f t="shared" si="2"/>
        <v>0</v>
      </c>
    </row>
    <row r="79" spans="4:18" ht="13.05" customHeight="1" x14ac:dyDescent="0.25">
      <c r="D79" s="163">
        <f>DATE(selected_year, 7,1)</f>
        <v>45839</v>
      </c>
      <c r="E79" s="101" t="s">
        <v>0</v>
      </c>
      <c r="F79" s="102">
        <f t="shared" ref="F79" si="39">MONTH(D79)</f>
        <v>7</v>
      </c>
      <c r="G79" s="102">
        <f>IF(selected_period = "Total Year", 1, IF(selected_period=cc_month_number, 1,0))</f>
        <v>0</v>
      </c>
      <c r="H79" s="102">
        <f t="shared" ref="H79" si="40">1*$E$49</f>
        <v>1</v>
      </c>
      <c r="I79" s="102">
        <f t="shared" ref="I79" si="41">1*$E$52</f>
        <v>1</v>
      </c>
      <c r="J79" s="94" cm="1">
        <f t="array" ref="J79">SUM(Tracking[Amount] * (Tracking[Type]=cc_type) * (YEAR(Tracking[Effective Date])=selected_year) * (MONTH(Tracking[Effective Date])=cc_month_number))</f>
        <v>0</v>
      </c>
      <c r="K79" s="94" cm="1">
        <f t="array" aca="1" ref="K79" ca="1" xml:space="preserve"> INDEX('Budget Planning'!$E:$EM, income_total_row, MATCH(DATE(selected_year, cc_month_number, 1), 'Budget Planning'!$E$9:$EM$9, 0))</f>
        <v>2700</v>
      </c>
      <c r="L79" s="94">
        <f ca="1">cc_budget-cc_tracked</f>
        <v>2700</v>
      </c>
      <c r="M79" s="89">
        <f ca="1">cc_in_focus*cc_show_type*MIN(cc_tracked, cc_budget)</f>
        <v>0</v>
      </c>
      <c r="N79" s="94">
        <f ca="1">cc_in_focus*cc_show_type*cc_show_remaining_budget*IF(cc_delta&gt;0, cc_delta, 0)</f>
        <v>0</v>
      </c>
      <c r="O79" s="108">
        <f ca="1">cc_in_focus*cc_show_type*IF(cc_delta&lt;0, ABS(cc_delta),0)</f>
        <v>0</v>
      </c>
      <c r="P79" s="108">
        <f t="shared" ca="1" si="0"/>
        <v>0</v>
      </c>
      <c r="Q79" s="104">
        <f t="shared" ca="1" si="1"/>
        <v>2700</v>
      </c>
      <c r="R79" s="108">
        <f t="shared" ca="1" si="2"/>
        <v>0</v>
      </c>
    </row>
    <row r="80" spans="4:18" ht="13.05" customHeight="1" x14ac:dyDescent="0.25">
      <c r="D80" s="161"/>
      <c r="E80" s="102" t="s">
        <v>1</v>
      </c>
      <c r="F80" s="102">
        <f t="shared" ref="F80" si="42">MONTH(D79)</f>
        <v>7</v>
      </c>
      <c r="G80" s="102">
        <f>IF(selected_period = "Total Year", 1, IF(selected_period=cc_month_number, 1,0))</f>
        <v>0</v>
      </c>
      <c r="H80" s="102">
        <f t="shared" ref="H80" si="43">1*$E$50</f>
        <v>1</v>
      </c>
      <c r="I80" s="102">
        <f t="shared" si="6"/>
        <v>1</v>
      </c>
      <c r="J80" s="94" cm="1">
        <f t="array" ref="J80">SUM(Tracking[Amount] * (Tracking[Type]=cc_type) * (YEAR(Tracking[Effective Date])=selected_year) * (MONTH(Tracking[Effective Date])=cc_month_number))</f>
        <v>0</v>
      </c>
      <c r="K80" s="94" cm="1">
        <f t="array" aca="1" ref="K80" ca="1" xml:space="preserve"> INDEX('Budget Planning'!$E:$EM, expenses_total_row, MATCH(DATE(selected_year, cc_month_number, 1), 'Budget Planning'!$E$9:$EM$9, 0))</f>
        <v>2700</v>
      </c>
      <c r="L80" s="94">
        <f ca="1">cc_budget-cc_tracked</f>
        <v>2700</v>
      </c>
      <c r="M80" s="89">
        <f ca="1">cc_in_focus*cc_show_type*MIN(cc_tracked, cc_budget)</f>
        <v>0</v>
      </c>
      <c r="N80" s="94">
        <f ca="1">cc_in_focus*cc_show_type*cc_show_remaining_budget*IF(cc_delta&gt;0, cc_delta, 0)</f>
        <v>0</v>
      </c>
      <c r="O80" s="108">
        <f ca="1">cc_in_focus*cc_show_type*IF(cc_delta&lt;0, ABS(cc_delta),0)</f>
        <v>0</v>
      </c>
      <c r="P80" s="108">
        <f t="shared" ca="1" si="0"/>
        <v>0</v>
      </c>
      <c r="Q80" s="94">
        <f t="shared" ca="1" si="1"/>
        <v>2700</v>
      </c>
      <c r="R80" s="108">
        <f t="shared" ca="1" si="2"/>
        <v>0</v>
      </c>
    </row>
    <row r="81" spans="4:18" ht="13.05" customHeight="1" x14ac:dyDescent="0.25">
      <c r="D81" s="161"/>
      <c r="E81" s="102" t="s">
        <v>2</v>
      </c>
      <c r="F81" s="102">
        <f t="shared" ref="F81" si="44">MONTH(D79)</f>
        <v>7</v>
      </c>
      <c r="G81" s="102">
        <f>IF(selected_period = "Total Year", 1, IF(selected_period=cc_month_number, 1,0))</f>
        <v>0</v>
      </c>
      <c r="H81" s="102">
        <f t="shared" ref="H81" si="45">1*$E$51</f>
        <v>1</v>
      </c>
      <c r="I81" s="102">
        <f t="shared" si="6"/>
        <v>1</v>
      </c>
      <c r="J81" s="94" cm="1">
        <f t="array" ref="J81">SUM(Tracking[Amount] * (Tracking[Type]=cc_type) * (YEAR(Tracking[Effective Date])=selected_year) * (MONTH(Tracking[Effective Date])=cc_month_number))</f>
        <v>0</v>
      </c>
      <c r="K81" s="94" cm="1">
        <f t="array" aca="1" ref="K81" ca="1" xml:space="preserve"> INDEX('Budget Planning'!$E:$EM, savings_total_row, MATCH(DATE(selected_year, cc_month_number, 1), 'Budget Planning'!$E$9:$EM$9, 0))</f>
        <v>0</v>
      </c>
      <c r="L81" s="94">
        <f ca="1">cc_budget-cc_tracked</f>
        <v>0</v>
      </c>
      <c r="M81" s="89">
        <f ca="1">cc_in_focus*cc_show_type*MIN(cc_tracked, cc_budget)</f>
        <v>0</v>
      </c>
      <c r="N81" s="94">
        <f ca="1">cc_in_focus*cc_show_type*cc_show_remaining_budget*IF(cc_delta&gt;0, cc_delta, 0)</f>
        <v>0</v>
      </c>
      <c r="O81" s="108">
        <f ca="1">cc_in_focus*cc_show_type*IF(cc_delta&lt;0, ABS(cc_delta),0)</f>
        <v>0</v>
      </c>
      <c r="P81" s="108">
        <f t="shared" ca="1" si="0"/>
        <v>0</v>
      </c>
      <c r="Q81" s="94">
        <f t="shared" ca="1" si="1"/>
        <v>0</v>
      </c>
      <c r="R81" s="108">
        <f t="shared" ca="1" si="2"/>
        <v>0</v>
      </c>
    </row>
    <row r="82" spans="4:18" ht="13.05" customHeight="1" x14ac:dyDescent="0.25">
      <c r="D82" s="162"/>
      <c r="E82" s="103"/>
      <c r="F82" s="103"/>
      <c r="G82" s="103"/>
      <c r="H82" s="103"/>
      <c r="I82" s="103"/>
      <c r="J82" s="107"/>
      <c r="K82" s="107"/>
      <c r="L82" s="107"/>
      <c r="M82" s="103"/>
      <c r="N82" s="103"/>
      <c r="O82" s="103"/>
      <c r="P82" s="131">
        <f t="shared" si="0"/>
        <v>0</v>
      </c>
      <c r="Q82" s="107">
        <f t="shared" si="1"/>
        <v>0</v>
      </c>
      <c r="R82" s="108">
        <f t="shared" si="2"/>
        <v>0</v>
      </c>
    </row>
    <row r="83" spans="4:18" ht="13.05" customHeight="1" x14ac:dyDescent="0.25">
      <c r="D83" s="163">
        <f>DATE(selected_year, 8,1)</f>
        <v>45870</v>
      </c>
      <c r="E83" s="101" t="s">
        <v>0</v>
      </c>
      <c r="F83" s="102">
        <f t="shared" ref="F83" si="46">MONTH(D83)</f>
        <v>8</v>
      </c>
      <c r="G83" s="102">
        <f>IF(selected_period = "Total Year", 1, IF(selected_period=cc_month_number, 1,0))</f>
        <v>0</v>
      </c>
      <c r="H83" s="102">
        <f t="shared" ref="H83" si="47">1*$E$49</f>
        <v>1</v>
      </c>
      <c r="I83" s="102">
        <f t="shared" ref="I83" si="48">1*$E$52</f>
        <v>1</v>
      </c>
      <c r="J83" s="94" cm="1">
        <f t="array" ref="J83">SUM(Tracking[Amount] * (Tracking[Type]=cc_type) * (YEAR(Tracking[Effective Date])=selected_year) * (MONTH(Tracking[Effective Date])=cc_month_number))</f>
        <v>0</v>
      </c>
      <c r="K83" s="94" cm="1">
        <f t="array" aca="1" ref="K83" ca="1" xml:space="preserve"> INDEX('Budget Planning'!$E:$EM, income_total_row, MATCH(DATE(selected_year, cc_month_number, 1), 'Budget Planning'!$E$9:$EM$9, 0))</f>
        <v>2700</v>
      </c>
      <c r="L83" s="94">
        <f ca="1">cc_budget-cc_tracked</f>
        <v>2700</v>
      </c>
      <c r="M83" s="89">
        <f ca="1">cc_in_focus*cc_show_type*MIN(cc_tracked, cc_budget)</f>
        <v>0</v>
      </c>
      <c r="N83" s="94">
        <f ca="1">cc_in_focus*cc_show_type*cc_show_remaining_budget*IF(cc_delta&gt;0, cc_delta, 0)</f>
        <v>0</v>
      </c>
      <c r="O83" s="108">
        <f ca="1">cc_in_focus*cc_show_type*IF(cc_delta&lt;0, ABS(cc_delta),0)</f>
        <v>0</v>
      </c>
      <c r="P83" s="108">
        <f t="shared" ca="1" si="0"/>
        <v>0</v>
      </c>
      <c r="Q83" s="104">
        <f t="shared" ca="1" si="1"/>
        <v>2700</v>
      </c>
      <c r="R83" s="108">
        <f t="shared" ca="1" si="2"/>
        <v>0</v>
      </c>
    </row>
    <row r="84" spans="4:18" ht="13.05" customHeight="1" x14ac:dyDescent="0.25">
      <c r="D84" s="161"/>
      <c r="E84" s="102" t="s">
        <v>1</v>
      </c>
      <c r="F84" s="102">
        <f t="shared" ref="F84" si="49">MONTH(D83)</f>
        <v>8</v>
      </c>
      <c r="G84" s="102">
        <f>IF(selected_period = "Total Year", 1, IF(selected_period=cc_month_number, 1,0))</f>
        <v>0</v>
      </c>
      <c r="H84" s="102">
        <f t="shared" ref="H84" si="50">1*$E$50</f>
        <v>1</v>
      </c>
      <c r="I84" s="102">
        <f t="shared" si="6"/>
        <v>1</v>
      </c>
      <c r="J84" s="94" cm="1">
        <f t="array" ref="J84">SUM(Tracking[Amount] * (Tracking[Type]=cc_type) * (YEAR(Tracking[Effective Date])=selected_year) * (MONTH(Tracking[Effective Date])=cc_month_number))</f>
        <v>0</v>
      </c>
      <c r="K84" s="94" cm="1">
        <f t="array" aca="1" ref="K84" ca="1" xml:space="preserve"> INDEX('Budget Planning'!$E:$EM, expenses_total_row, MATCH(DATE(selected_year, cc_month_number, 1), 'Budget Planning'!$E$9:$EM$9, 0))</f>
        <v>2700</v>
      </c>
      <c r="L84" s="94">
        <f ca="1">cc_budget-cc_tracked</f>
        <v>2700</v>
      </c>
      <c r="M84" s="89">
        <f ca="1">cc_in_focus*cc_show_type*MIN(cc_tracked, cc_budget)</f>
        <v>0</v>
      </c>
      <c r="N84" s="94">
        <f ca="1">cc_in_focus*cc_show_type*cc_show_remaining_budget*IF(cc_delta&gt;0, cc_delta, 0)</f>
        <v>0</v>
      </c>
      <c r="O84" s="108">
        <f ca="1">cc_in_focus*cc_show_type*IF(cc_delta&lt;0, ABS(cc_delta),0)</f>
        <v>0</v>
      </c>
      <c r="P84" s="108">
        <f t="shared" ca="1" si="0"/>
        <v>0</v>
      </c>
      <c r="Q84" s="94">
        <f t="shared" ca="1" si="1"/>
        <v>2700</v>
      </c>
      <c r="R84" s="108">
        <f t="shared" ca="1" si="2"/>
        <v>0</v>
      </c>
    </row>
    <row r="85" spans="4:18" ht="13.05" customHeight="1" x14ac:dyDescent="0.25">
      <c r="D85" s="161"/>
      <c r="E85" s="102" t="s">
        <v>2</v>
      </c>
      <c r="F85" s="102">
        <f t="shared" ref="F85" si="51">MONTH(D83)</f>
        <v>8</v>
      </c>
      <c r="G85" s="102">
        <f>IF(selected_period = "Total Year", 1, IF(selected_period=cc_month_number, 1,0))</f>
        <v>0</v>
      </c>
      <c r="H85" s="102">
        <f t="shared" ref="H85" si="52">1*$E$51</f>
        <v>1</v>
      </c>
      <c r="I85" s="102">
        <f t="shared" si="6"/>
        <v>1</v>
      </c>
      <c r="J85" s="94" cm="1">
        <f t="array" ref="J85">SUM(Tracking[Amount] * (Tracking[Type]=cc_type) * (YEAR(Tracking[Effective Date])=selected_year) * (MONTH(Tracking[Effective Date])=cc_month_number))</f>
        <v>0</v>
      </c>
      <c r="K85" s="94" cm="1">
        <f t="array" aca="1" ref="K85" ca="1" xml:space="preserve"> INDEX('Budget Planning'!$E:$EM, savings_total_row, MATCH(DATE(selected_year, cc_month_number, 1), 'Budget Planning'!$E$9:$EM$9, 0))</f>
        <v>0</v>
      </c>
      <c r="L85" s="94">
        <f ca="1">cc_budget-cc_tracked</f>
        <v>0</v>
      </c>
      <c r="M85" s="89">
        <f ca="1">cc_in_focus*cc_show_type*MIN(cc_tracked, cc_budget)</f>
        <v>0</v>
      </c>
      <c r="N85" s="94">
        <f ca="1">cc_in_focus*cc_show_type*cc_show_remaining_budget*IF(cc_delta&gt;0, cc_delta, 0)</f>
        <v>0</v>
      </c>
      <c r="O85" s="108">
        <f ca="1">cc_in_focus*cc_show_type*IF(cc_delta&lt;0, ABS(cc_delta),0)</f>
        <v>0</v>
      </c>
      <c r="P85" s="108">
        <f t="shared" ca="1" si="0"/>
        <v>0</v>
      </c>
      <c r="Q85" s="94">
        <f t="shared" ca="1" si="1"/>
        <v>0</v>
      </c>
      <c r="R85" s="108">
        <f t="shared" ca="1" si="2"/>
        <v>0</v>
      </c>
    </row>
    <row r="86" spans="4:18" ht="13.05" customHeight="1" x14ac:dyDescent="0.25">
      <c r="D86" s="162"/>
      <c r="E86" s="103"/>
      <c r="F86" s="103"/>
      <c r="G86" s="103"/>
      <c r="H86" s="103"/>
      <c r="I86" s="103"/>
      <c r="J86" s="107"/>
      <c r="K86" s="107"/>
      <c r="L86" s="107"/>
      <c r="M86" s="103"/>
      <c r="N86" s="103"/>
      <c r="O86" s="103"/>
      <c r="P86" s="131">
        <f t="shared" si="0"/>
        <v>0</v>
      </c>
      <c r="Q86" s="107">
        <f t="shared" si="1"/>
        <v>0</v>
      </c>
      <c r="R86" s="108">
        <f t="shared" si="2"/>
        <v>0</v>
      </c>
    </row>
    <row r="87" spans="4:18" ht="13.05" customHeight="1" x14ac:dyDescent="0.25">
      <c r="D87" s="163">
        <f>DATE(selected_year, 9,1)</f>
        <v>45901</v>
      </c>
      <c r="E87" s="101" t="s">
        <v>0</v>
      </c>
      <c r="F87" s="102">
        <f t="shared" ref="F87" si="53">MONTH(D87)</f>
        <v>9</v>
      </c>
      <c r="G87" s="102">
        <f>IF(selected_period = "Total Year", 1, IF(selected_period=cc_month_number, 1,0))</f>
        <v>0</v>
      </c>
      <c r="H87" s="102">
        <f t="shared" ref="H87" si="54">1*$E$49</f>
        <v>1</v>
      </c>
      <c r="I87" s="102">
        <f t="shared" ref="I87" si="55">1*$E$52</f>
        <v>1</v>
      </c>
      <c r="J87" s="94" cm="1">
        <f t="array" ref="J87">SUM(Tracking[Amount] * (Tracking[Type]=cc_type) * (YEAR(Tracking[Effective Date])=selected_year) * (MONTH(Tracking[Effective Date])=cc_month_number))</f>
        <v>0</v>
      </c>
      <c r="K87" s="94" cm="1">
        <f t="array" aca="1" ref="K87" ca="1" xml:space="preserve"> INDEX('Budget Planning'!$E:$EM, income_total_row, MATCH(DATE(selected_year, cc_month_number, 1), 'Budget Planning'!$E$9:$EM$9, 0))</f>
        <v>2700</v>
      </c>
      <c r="L87" s="94">
        <f ca="1">cc_budget-cc_tracked</f>
        <v>2700</v>
      </c>
      <c r="M87" s="89">
        <f ca="1">cc_in_focus*cc_show_type*MIN(cc_tracked, cc_budget)</f>
        <v>0</v>
      </c>
      <c r="N87" s="94">
        <f ca="1">cc_in_focus*cc_show_type*cc_show_remaining_budget*IF(cc_delta&gt;0, cc_delta, 0)</f>
        <v>0</v>
      </c>
      <c r="O87" s="108">
        <f ca="1">cc_in_focus*cc_show_type*IF(cc_delta&lt;0, ABS(cc_delta),0)</f>
        <v>0</v>
      </c>
      <c r="P87" s="108">
        <f t="shared" ca="1" si="0"/>
        <v>0</v>
      </c>
      <c r="Q87" s="104">
        <f t="shared" ca="1" si="1"/>
        <v>2700</v>
      </c>
      <c r="R87" s="108">
        <f t="shared" ca="1" si="2"/>
        <v>0</v>
      </c>
    </row>
    <row r="88" spans="4:18" ht="13.05" customHeight="1" x14ac:dyDescent="0.25">
      <c r="D88" s="161"/>
      <c r="E88" s="102" t="s">
        <v>1</v>
      </c>
      <c r="F88" s="102">
        <f t="shared" ref="F88" si="56">MONTH(D87)</f>
        <v>9</v>
      </c>
      <c r="G88" s="102">
        <f>IF(selected_period = "Total Year", 1, IF(selected_period=cc_month_number, 1,0))</f>
        <v>0</v>
      </c>
      <c r="H88" s="102">
        <f t="shared" ref="H88" si="57">1*$E$50</f>
        <v>1</v>
      </c>
      <c r="I88" s="102">
        <f t="shared" si="6"/>
        <v>1</v>
      </c>
      <c r="J88" s="94" cm="1">
        <f t="array" ref="J88">SUM(Tracking[Amount] * (Tracking[Type]=cc_type) * (YEAR(Tracking[Effective Date])=selected_year) * (MONTH(Tracking[Effective Date])=cc_month_number))</f>
        <v>0</v>
      </c>
      <c r="K88" s="94" cm="1">
        <f t="array" aca="1" ref="K88" ca="1" xml:space="preserve"> INDEX('Budget Planning'!$E:$EM, expenses_total_row, MATCH(DATE(selected_year, cc_month_number, 1), 'Budget Planning'!$E$9:$EM$9, 0))</f>
        <v>2700</v>
      </c>
      <c r="L88" s="94">
        <f ca="1">cc_budget-cc_tracked</f>
        <v>2700</v>
      </c>
      <c r="M88" s="89">
        <f ca="1">cc_in_focus*cc_show_type*MIN(cc_tracked, cc_budget)</f>
        <v>0</v>
      </c>
      <c r="N88" s="94">
        <f ca="1">cc_in_focus*cc_show_type*cc_show_remaining_budget*IF(cc_delta&gt;0, cc_delta, 0)</f>
        <v>0</v>
      </c>
      <c r="O88" s="108">
        <f ca="1">cc_in_focus*cc_show_type*IF(cc_delta&lt;0, ABS(cc_delta),0)</f>
        <v>0</v>
      </c>
      <c r="P88" s="108">
        <f t="shared" ca="1" si="0"/>
        <v>0</v>
      </c>
      <c r="Q88" s="94">
        <f t="shared" ca="1" si="1"/>
        <v>2700</v>
      </c>
      <c r="R88" s="108">
        <f t="shared" ca="1" si="2"/>
        <v>0</v>
      </c>
    </row>
    <row r="89" spans="4:18" ht="13.05" customHeight="1" x14ac:dyDescent="0.25">
      <c r="D89" s="161"/>
      <c r="E89" s="102" t="s">
        <v>2</v>
      </c>
      <c r="F89" s="102">
        <f t="shared" ref="F89" si="58">MONTH(D87)</f>
        <v>9</v>
      </c>
      <c r="G89" s="102">
        <f>IF(selected_period = "Total Year", 1, IF(selected_period=cc_month_number, 1,0))</f>
        <v>0</v>
      </c>
      <c r="H89" s="102">
        <f t="shared" ref="H89" si="59">1*$E$51</f>
        <v>1</v>
      </c>
      <c r="I89" s="102">
        <f t="shared" si="6"/>
        <v>1</v>
      </c>
      <c r="J89" s="94" cm="1">
        <f t="array" ref="J89">SUM(Tracking[Amount] * (Tracking[Type]=cc_type) * (YEAR(Tracking[Effective Date])=selected_year) * (MONTH(Tracking[Effective Date])=cc_month_number))</f>
        <v>0</v>
      </c>
      <c r="K89" s="94" cm="1">
        <f t="array" aca="1" ref="K89" ca="1" xml:space="preserve"> INDEX('Budget Planning'!$E:$EM, savings_total_row, MATCH(DATE(selected_year, cc_month_number, 1), 'Budget Planning'!$E$9:$EM$9, 0))</f>
        <v>0</v>
      </c>
      <c r="L89" s="94">
        <f ca="1">cc_budget-cc_tracked</f>
        <v>0</v>
      </c>
      <c r="M89" s="89">
        <f ca="1">cc_in_focus*cc_show_type*MIN(cc_tracked, cc_budget)</f>
        <v>0</v>
      </c>
      <c r="N89" s="94">
        <f ca="1">cc_in_focus*cc_show_type*cc_show_remaining_budget*IF(cc_delta&gt;0, cc_delta, 0)</f>
        <v>0</v>
      </c>
      <c r="O89" s="108">
        <f ca="1">cc_in_focus*cc_show_type*IF(cc_delta&lt;0, ABS(cc_delta),0)</f>
        <v>0</v>
      </c>
      <c r="P89" s="108">
        <f t="shared" ca="1" si="0"/>
        <v>0</v>
      </c>
      <c r="Q89" s="94">
        <f t="shared" ca="1" si="1"/>
        <v>0</v>
      </c>
      <c r="R89" s="108">
        <f t="shared" ca="1" si="2"/>
        <v>0</v>
      </c>
    </row>
    <row r="90" spans="4:18" ht="13.05" customHeight="1" x14ac:dyDescent="0.25">
      <c r="D90" s="162"/>
      <c r="E90" s="103"/>
      <c r="F90" s="103"/>
      <c r="G90" s="103"/>
      <c r="H90" s="103"/>
      <c r="I90" s="103"/>
      <c r="J90" s="107"/>
      <c r="K90" s="107"/>
      <c r="L90" s="107"/>
      <c r="M90" s="103"/>
      <c r="N90" s="103"/>
      <c r="O90" s="103"/>
      <c r="P90" s="131">
        <f t="shared" si="0"/>
        <v>0</v>
      </c>
      <c r="Q90" s="107">
        <f t="shared" si="1"/>
        <v>0</v>
      </c>
      <c r="R90" s="108">
        <f t="shared" si="2"/>
        <v>0</v>
      </c>
    </row>
    <row r="91" spans="4:18" ht="13.05" customHeight="1" x14ac:dyDescent="0.25">
      <c r="D91" s="163">
        <f>DATE(selected_year, 10,1)</f>
        <v>45931</v>
      </c>
      <c r="E91" s="101" t="s">
        <v>0</v>
      </c>
      <c r="F91" s="102">
        <f t="shared" ref="F91" si="60">MONTH(D91)</f>
        <v>10</v>
      </c>
      <c r="G91" s="102">
        <f>IF(selected_period = "Total Year", 1, IF(selected_period=cc_month_number, 1,0))</f>
        <v>0</v>
      </c>
      <c r="H91" s="102">
        <f t="shared" ref="H91" si="61">1*$E$49</f>
        <v>1</v>
      </c>
      <c r="I91" s="102">
        <f t="shared" ref="I91" si="62">1*$E$52</f>
        <v>1</v>
      </c>
      <c r="J91" s="94" cm="1">
        <f t="array" ref="J91">SUM(Tracking[Amount] * (Tracking[Type]=cc_type) * (YEAR(Tracking[Effective Date])=selected_year) * (MONTH(Tracking[Effective Date])=cc_month_number))</f>
        <v>0</v>
      </c>
      <c r="K91" s="94" cm="1">
        <f t="array" aca="1" ref="K91" ca="1" xml:space="preserve"> INDEX('Budget Planning'!$E:$EM, income_total_row, MATCH(DATE(selected_year, cc_month_number, 1), 'Budget Planning'!$E$9:$EM$9, 0))</f>
        <v>2700</v>
      </c>
      <c r="L91" s="94">
        <f ca="1">cc_budget-cc_tracked</f>
        <v>2700</v>
      </c>
      <c r="M91" s="89">
        <f ca="1">cc_in_focus*cc_show_type*MIN(cc_tracked, cc_budget)</f>
        <v>0</v>
      </c>
      <c r="N91" s="94">
        <f ca="1">cc_in_focus*cc_show_type*cc_show_remaining_budget*IF(cc_delta&gt;0, cc_delta, 0)</f>
        <v>0</v>
      </c>
      <c r="O91" s="108">
        <f ca="1">cc_in_focus*cc_show_type*IF(cc_delta&lt;0, ABS(cc_delta),0)</f>
        <v>0</v>
      </c>
      <c r="P91" s="108">
        <f t="shared" ca="1" si="0"/>
        <v>0</v>
      </c>
      <c r="Q91" s="104">
        <f t="shared" ca="1" si="1"/>
        <v>2700</v>
      </c>
      <c r="R91" s="108">
        <f t="shared" ca="1" si="2"/>
        <v>0</v>
      </c>
    </row>
    <row r="92" spans="4:18" ht="13.05" customHeight="1" x14ac:dyDescent="0.25">
      <c r="D92" s="161"/>
      <c r="E92" s="102" t="s">
        <v>1</v>
      </c>
      <c r="F92" s="102">
        <f t="shared" ref="F92" si="63">MONTH(D91)</f>
        <v>10</v>
      </c>
      <c r="G92" s="102">
        <f>IF(selected_period = "Total Year", 1, IF(selected_period=cc_month_number, 1,0))</f>
        <v>0</v>
      </c>
      <c r="H92" s="102">
        <f t="shared" ref="H92" si="64">1*$E$50</f>
        <v>1</v>
      </c>
      <c r="I92" s="102">
        <f t="shared" si="6"/>
        <v>1</v>
      </c>
      <c r="J92" s="94" cm="1">
        <f t="array" ref="J92">SUM(Tracking[Amount] * (Tracking[Type]=cc_type) * (YEAR(Tracking[Effective Date])=selected_year) * (MONTH(Tracking[Effective Date])=cc_month_number))</f>
        <v>0</v>
      </c>
      <c r="K92" s="94" cm="1">
        <f t="array" aca="1" ref="K92" ca="1" xml:space="preserve"> INDEX('Budget Planning'!$E:$EM, expenses_total_row, MATCH(DATE(selected_year, cc_month_number, 1), 'Budget Planning'!$E$9:$EM$9, 0))</f>
        <v>2700</v>
      </c>
      <c r="L92" s="94">
        <f ca="1">cc_budget-cc_tracked</f>
        <v>2700</v>
      </c>
      <c r="M92" s="89">
        <f ca="1">cc_in_focus*cc_show_type*MIN(cc_tracked, cc_budget)</f>
        <v>0</v>
      </c>
      <c r="N92" s="94">
        <f ca="1">cc_in_focus*cc_show_type*cc_show_remaining_budget*IF(cc_delta&gt;0, cc_delta, 0)</f>
        <v>0</v>
      </c>
      <c r="O92" s="108">
        <f ca="1">cc_in_focus*cc_show_type*IF(cc_delta&lt;0, ABS(cc_delta),0)</f>
        <v>0</v>
      </c>
      <c r="P92" s="108">
        <f t="shared" ca="1" si="0"/>
        <v>0</v>
      </c>
      <c r="Q92" s="94">
        <f t="shared" ca="1" si="1"/>
        <v>2700</v>
      </c>
      <c r="R92" s="108">
        <f t="shared" ca="1" si="2"/>
        <v>0</v>
      </c>
    </row>
    <row r="93" spans="4:18" ht="13.05" customHeight="1" x14ac:dyDescent="0.25">
      <c r="D93" s="161"/>
      <c r="E93" s="102" t="s">
        <v>2</v>
      </c>
      <c r="F93" s="102">
        <f t="shared" ref="F93" si="65">MONTH(D91)</f>
        <v>10</v>
      </c>
      <c r="G93" s="102">
        <f>IF(selected_period = "Total Year", 1, IF(selected_period=cc_month_number, 1,0))</f>
        <v>0</v>
      </c>
      <c r="H93" s="102">
        <f t="shared" ref="H93" si="66">1*$E$51</f>
        <v>1</v>
      </c>
      <c r="I93" s="102">
        <f t="shared" si="6"/>
        <v>1</v>
      </c>
      <c r="J93" s="94" cm="1">
        <f t="array" ref="J93">SUM(Tracking[Amount] * (Tracking[Type]=cc_type) * (YEAR(Tracking[Effective Date])=selected_year) * (MONTH(Tracking[Effective Date])=cc_month_number))</f>
        <v>0</v>
      </c>
      <c r="K93" s="94" cm="1">
        <f t="array" aca="1" ref="K93" ca="1" xml:space="preserve"> INDEX('Budget Planning'!$E:$EM, savings_total_row, MATCH(DATE(selected_year, cc_month_number, 1), 'Budget Planning'!$E$9:$EM$9, 0))</f>
        <v>0</v>
      </c>
      <c r="L93" s="94">
        <f ca="1">cc_budget-cc_tracked</f>
        <v>0</v>
      </c>
      <c r="M93" s="89">
        <f ca="1">cc_in_focus*cc_show_type*MIN(cc_tracked, cc_budget)</f>
        <v>0</v>
      </c>
      <c r="N93" s="94">
        <f ca="1">cc_in_focus*cc_show_type*cc_show_remaining_budget*IF(cc_delta&gt;0, cc_delta, 0)</f>
        <v>0</v>
      </c>
      <c r="O93" s="108">
        <f ca="1">cc_in_focus*cc_show_type*IF(cc_delta&lt;0, ABS(cc_delta),0)</f>
        <v>0</v>
      </c>
      <c r="P93" s="108">
        <f t="shared" ca="1" si="0"/>
        <v>0</v>
      </c>
      <c r="Q93" s="94">
        <f t="shared" ca="1" si="1"/>
        <v>0</v>
      </c>
      <c r="R93" s="108">
        <f t="shared" ca="1" si="2"/>
        <v>0</v>
      </c>
    </row>
    <row r="94" spans="4:18" ht="13.05" customHeight="1" x14ac:dyDescent="0.25">
      <c r="D94" s="162"/>
      <c r="E94" s="103"/>
      <c r="F94" s="103"/>
      <c r="G94" s="103"/>
      <c r="H94" s="103"/>
      <c r="I94" s="103"/>
      <c r="J94" s="107"/>
      <c r="K94" s="107"/>
      <c r="L94" s="107"/>
      <c r="M94" s="103"/>
      <c r="N94" s="103"/>
      <c r="O94" s="103"/>
      <c r="P94" s="131">
        <f t="shared" si="0"/>
        <v>0</v>
      </c>
      <c r="Q94" s="107">
        <f t="shared" si="1"/>
        <v>0</v>
      </c>
      <c r="R94" s="108">
        <f t="shared" si="2"/>
        <v>0</v>
      </c>
    </row>
    <row r="95" spans="4:18" ht="13.05" customHeight="1" x14ac:dyDescent="0.25">
      <c r="D95" s="163">
        <f>DATE(selected_year, 11,1)</f>
        <v>45962</v>
      </c>
      <c r="E95" s="101" t="s">
        <v>0</v>
      </c>
      <c r="F95" s="102">
        <f t="shared" ref="F95" si="67">MONTH(D95)</f>
        <v>11</v>
      </c>
      <c r="G95" s="102">
        <f>IF(selected_period = "Total Year", 1, IF(selected_period=cc_month_number, 1,0))</f>
        <v>0</v>
      </c>
      <c r="H95" s="102">
        <f t="shared" ref="H95" si="68">1*$E$49</f>
        <v>1</v>
      </c>
      <c r="I95" s="102">
        <f t="shared" ref="I95" si="69">1*$E$52</f>
        <v>1</v>
      </c>
      <c r="J95" s="94" cm="1">
        <f t="array" ref="J95">SUM(Tracking[Amount] * (Tracking[Type]=cc_type) * (YEAR(Tracking[Effective Date])=selected_year) * (MONTH(Tracking[Effective Date])=cc_month_number))</f>
        <v>0</v>
      </c>
      <c r="K95" s="94" cm="1">
        <f t="array" aca="1" ref="K95" ca="1" xml:space="preserve"> INDEX('Budget Planning'!$E:$EM, income_total_row, MATCH(DATE(selected_year, cc_month_number, 1), 'Budget Planning'!$E$9:$EM$9, 0))</f>
        <v>2700</v>
      </c>
      <c r="L95" s="94">
        <f ca="1">cc_budget-cc_tracked</f>
        <v>2700</v>
      </c>
      <c r="M95" s="89">
        <f ca="1">cc_in_focus*cc_show_type*MIN(cc_tracked, cc_budget)</f>
        <v>0</v>
      </c>
      <c r="N95" s="94">
        <f ca="1">cc_in_focus*cc_show_type*cc_show_remaining_budget*IF(cc_delta&gt;0, cc_delta, 0)</f>
        <v>0</v>
      </c>
      <c r="O95" s="108">
        <f ca="1">cc_in_focus*cc_show_type*IF(cc_delta&lt;0, ABS(cc_delta),0)</f>
        <v>0</v>
      </c>
      <c r="P95" s="108">
        <f t="shared" ca="1" si="0"/>
        <v>0</v>
      </c>
      <c r="Q95" s="104">
        <f t="shared" ca="1" si="1"/>
        <v>2700</v>
      </c>
      <c r="R95" s="108">
        <f t="shared" ca="1" si="2"/>
        <v>0</v>
      </c>
    </row>
    <row r="96" spans="4:18" ht="13.05" customHeight="1" x14ac:dyDescent="0.25">
      <c r="D96" s="161"/>
      <c r="E96" s="102" t="s">
        <v>1</v>
      </c>
      <c r="F96" s="102">
        <f t="shared" ref="F96" si="70">MONTH(D95)</f>
        <v>11</v>
      </c>
      <c r="G96" s="102">
        <f>IF(selected_period = "Total Year", 1, IF(selected_period=cc_month_number, 1,0))</f>
        <v>0</v>
      </c>
      <c r="H96" s="102">
        <f t="shared" ref="H96" si="71">1*$E$50</f>
        <v>1</v>
      </c>
      <c r="I96" s="102">
        <f t="shared" si="6"/>
        <v>1</v>
      </c>
      <c r="J96" s="94" cm="1">
        <f t="array" ref="J96">SUM(Tracking[Amount] * (Tracking[Type]=cc_type) * (YEAR(Tracking[Effective Date])=selected_year) * (MONTH(Tracking[Effective Date])=cc_month_number))</f>
        <v>0</v>
      </c>
      <c r="K96" s="94" cm="1">
        <f t="array" aca="1" ref="K96" ca="1" xml:space="preserve"> INDEX('Budget Planning'!$E:$EM, expenses_total_row, MATCH(DATE(selected_year, cc_month_number, 1), 'Budget Planning'!$E$9:$EM$9, 0))</f>
        <v>1500</v>
      </c>
      <c r="L96" s="94">
        <f ca="1">cc_budget-cc_tracked</f>
        <v>1500</v>
      </c>
      <c r="M96" s="89">
        <f ca="1">cc_in_focus*cc_show_type*MIN(cc_tracked, cc_budget)</f>
        <v>0</v>
      </c>
      <c r="N96" s="94">
        <f ca="1">cc_in_focus*cc_show_type*cc_show_remaining_budget*IF(cc_delta&gt;0, cc_delta, 0)</f>
        <v>0</v>
      </c>
      <c r="O96" s="108">
        <f ca="1">cc_in_focus*cc_show_type*IF(cc_delta&lt;0, ABS(cc_delta),0)</f>
        <v>0</v>
      </c>
      <c r="P96" s="108">
        <f t="shared" ca="1" si="0"/>
        <v>0</v>
      </c>
      <c r="Q96" s="94">
        <f t="shared" ca="1" si="1"/>
        <v>1500</v>
      </c>
      <c r="R96" s="108">
        <f t="shared" ca="1" si="2"/>
        <v>0</v>
      </c>
    </row>
    <row r="97" spans="4:18" ht="13.05" customHeight="1" x14ac:dyDescent="0.25">
      <c r="D97" s="161"/>
      <c r="E97" s="102" t="s">
        <v>2</v>
      </c>
      <c r="F97" s="102">
        <f t="shared" ref="F97" si="72">MONTH(D95)</f>
        <v>11</v>
      </c>
      <c r="G97" s="102">
        <f>IF(selected_period = "Total Year", 1, IF(selected_period=cc_month_number, 1,0))</f>
        <v>0</v>
      </c>
      <c r="H97" s="102">
        <f t="shared" ref="H97" si="73">1*$E$51</f>
        <v>1</v>
      </c>
      <c r="I97" s="102">
        <f t="shared" si="6"/>
        <v>1</v>
      </c>
      <c r="J97" s="94" cm="1">
        <f t="array" ref="J97">SUM(Tracking[Amount] * (Tracking[Type]=cc_type) * (YEAR(Tracking[Effective Date])=selected_year) * (MONTH(Tracking[Effective Date])=cc_month_number))</f>
        <v>0</v>
      </c>
      <c r="K97" s="94" cm="1">
        <f t="array" aca="1" ref="K97" ca="1" xml:space="preserve"> INDEX('Budget Planning'!$E:$EM, savings_total_row, MATCH(DATE(selected_year, cc_month_number, 1), 'Budget Planning'!$E$9:$EM$9, 0))</f>
        <v>1200</v>
      </c>
      <c r="L97" s="94">
        <f ca="1">cc_budget-cc_tracked</f>
        <v>1200</v>
      </c>
      <c r="M97" s="89">
        <f ca="1">cc_in_focus*cc_show_type*MIN(cc_tracked, cc_budget)</f>
        <v>0</v>
      </c>
      <c r="N97" s="94">
        <f ca="1">cc_in_focus*cc_show_type*cc_show_remaining_budget*IF(cc_delta&gt;0, cc_delta, 0)</f>
        <v>0</v>
      </c>
      <c r="O97" s="108">
        <f ca="1">cc_in_focus*cc_show_type*IF(cc_delta&lt;0, ABS(cc_delta),0)</f>
        <v>0</v>
      </c>
      <c r="P97" s="108">
        <f t="shared" ca="1" si="0"/>
        <v>0</v>
      </c>
      <c r="Q97" s="94">
        <f t="shared" ca="1" si="1"/>
        <v>1200</v>
      </c>
      <c r="R97" s="108">
        <f t="shared" ca="1" si="2"/>
        <v>0</v>
      </c>
    </row>
    <row r="98" spans="4:18" ht="13.05" customHeight="1" x14ac:dyDescent="0.25">
      <c r="D98" s="162"/>
      <c r="E98" s="103"/>
      <c r="F98" s="103"/>
      <c r="G98" s="103"/>
      <c r="H98" s="103"/>
      <c r="I98" s="103"/>
      <c r="J98" s="107"/>
      <c r="K98" s="107"/>
      <c r="L98" s="107"/>
      <c r="M98" s="103"/>
      <c r="N98" s="103"/>
      <c r="O98" s="103"/>
      <c r="P98" s="131">
        <f t="shared" si="0"/>
        <v>0</v>
      </c>
      <c r="Q98" s="107">
        <f t="shared" si="1"/>
        <v>0</v>
      </c>
      <c r="R98" s="108">
        <f t="shared" si="2"/>
        <v>0</v>
      </c>
    </row>
    <row r="99" spans="4:18" ht="13.05" customHeight="1" x14ac:dyDescent="0.25">
      <c r="D99" s="163">
        <f>DATE(selected_year, 12,1)</f>
        <v>45992</v>
      </c>
      <c r="E99" s="101" t="s">
        <v>0</v>
      </c>
      <c r="F99" s="102">
        <f t="shared" ref="F99" si="74">MONTH(D99)</f>
        <v>12</v>
      </c>
      <c r="G99" s="102">
        <f>IF(selected_period = "Total Year", 1, IF(selected_period=cc_month_number, 1,0))</f>
        <v>0</v>
      </c>
      <c r="H99" s="102">
        <f t="shared" ref="H99" si="75">1*$E$49</f>
        <v>1</v>
      </c>
      <c r="I99" s="102">
        <f t="shared" ref="I99" si="76">1*$E$52</f>
        <v>1</v>
      </c>
      <c r="J99" s="94" cm="1">
        <f t="array" ref="J99">SUM(Tracking[Amount] * (Tracking[Type]=cc_type) * (YEAR(Tracking[Effective Date])=selected_year) * (MONTH(Tracking[Effective Date])=cc_month_number))</f>
        <v>0</v>
      </c>
      <c r="K99" s="94" cm="1">
        <f t="array" aca="1" ref="K99" ca="1" xml:space="preserve"> INDEX('Budget Planning'!$E:$EM, income_total_row, MATCH(DATE(selected_year, cc_month_number, 1), 'Budget Planning'!$E$9:$EM$9, 0))</f>
        <v>2700</v>
      </c>
      <c r="L99" s="94">
        <f ca="1">cc_budget-cc_tracked</f>
        <v>2700</v>
      </c>
      <c r="M99" s="89">
        <f ca="1">cc_in_focus*cc_show_type*MIN(cc_tracked, cc_budget)</f>
        <v>0</v>
      </c>
      <c r="N99" s="94">
        <f ca="1">cc_in_focus*cc_show_type*cc_show_remaining_budget*IF(cc_delta&gt;0, cc_delta, 0)</f>
        <v>0</v>
      </c>
      <c r="O99" s="108">
        <f ca="1">cc_in_focus*cc_show_type*IF(cc_delta&lt;0, ABS(cc_delta),0)</f>
        <v>0</v>
      </c>
      <c r="P99" s="108">
        <f t="shared" ca="1" si="0"/>
        <v>0</v>
      </c>
      <c r="Q99" s="104">
        <f t="shared" ca="1" si="1"/>
        <v>2700</v>
      </c>
      <c r="R99" s="108">
        <f t="shared" ca="1" si="2"/>
        <v>0</v>
      </c>
    </row>
    <row r="100" spans="4:18" ht="13.05" customHeight="1" x14ac:dyDescent="0.25">
      <c r="D100" s="161"/>
      <c r="E100" s="102" t="s">
        <v>1</v>
      </c>
      <c r="F100" s="102">
        <f t="shared" ref="F100" si="77">MONTH(D99)</f>
        <v>12</v>
      </c>
      <c r="G100" s="102">
        <f>IF(selected_period = "Total Year", 1, IF(selected_period=cc_month_number, 1,0))</f>
        <v>0</v>
      </c>
      <c r="H100" s="102">
        <f t="shared" ref="H100" si="78">1*$E$50</f>
        <v>1</v>
      </c>
      <c r="I100" s="102">
        <f t="shared" si="6"/>
        <v>1</v>
      </c>
      <c r="J100" s="94" cm="1">
        <f t="array" ref="J100">SUM(Tracking[Amount] * (Tracking[Type]=cc_type) * (YEAR(Tracking[Effective Date])=selected_year) * (MONTH(Tracking[Effective Date])=cc_month_number))</f>
        <v>0</v>
      </c>
      <c r="K100" s="94" cm="1">
        <f t="array" aca="1" ref="K100" ca="1" xml:space="preserve"> INDEX('Budget Planning'!$E:$EM, expenses_total_row, MATCH(DATE(selected_year, cc_month_number, 1), 'Budget Planning'!$E$9:$EM$9, 0))</f>
        <v>1200</v>
      </c>
      <c r="L100" s="94">
        <f ca="1">cc_budget-cc_tracked</f>
        <v>1200</v>
      </c>
      <c r="M100" s="89">
        <f ca="1">cc_in_focus*cc_show_type*MIN(cc_tracked, cc_budget)</f>
        <v>0</v>
      </c>
      <c r="N100" s="94">
        <f ca="1">cc_in_focus*cc_show_type*cc_show_remaining_budget*IF(cc_delta&gt;0, cc_delta, 0)</f>
        <v>0</v>
      </c>
      <c r="O100" s="108">
        <f ca="1">cc_in_focus*cc_show_type*IF(cc_delta&lt;0, ABS(cc_delta),0)</f>
        <v>0</v>
      </c>
      <c r="P100" s="108">
        <f t="shared" ca="1" si="0"/>
        <v>0</v>
      </c>
      <c r="Q100" s="94">
        <f t="shared" ca="1" si="1"/>
        <v>1200</v>
      </c>
      <c r="R100" s="108">
        <f t="shared" ca="1" si="2"/>
        <v>0</v>
      </c>
    </row>
    <row r="101" spans="4:18" ht="13.05" customHeight="1" x14ac:dyDescent="0.25">
      <c r="D101" s="161"/>
      <c r="E101" s="102" t="s">
        <v>2</v>
      </c>
      <c r="F101" s="102">
        <f t="shared" ref="F101" si="79">MONTH(D99)</f>
        <v>12</v>
      </c>
      <c r="G101" s="102">
        <f>IF(selected_period = "Total Year", 1, IF(selected_period=cc_month_number, 1,0))</f>
        <v>0</v>
      </c>
      <c r="H101" s="102">
        <f t="shared" ref="H101" si="80">1*$E$51</f>
        <v>1</v>
      </c>
      <c r="I101" s="102">
        <f t="shared" si="6"/>
        <v>1</v>
      </c>
      <c r="J101" s="94" cm="1">
        <f t="array" ref="J101">SUM(Tracking[Amount] * (Tracking[Type]=cc_type) * (YEAR(Tracking[Effective Date])=selected_year) * (MONTH(Tracking[Effective Date])=cc_month_number))</f>
        <v>0</v>
      </c>
      <c r="K101" s="94" cm="1">
        <f t="array" aca="1" ref="K101" ca="1" xml:space="preserve"> INDEX('Budget Planning'!$E:$EM, savings_total_row, MATCH(DATE(selected_year, cc_month_number, 1), 'Budget Planning'!$E$9:$EM$9, 0))</f>
        <v>1500</v>
      </c>
      <c r="L101" s="94">
        <f ca="1">cc_budget-cc_tracked</f>
        <v>1500</v>
      </c>
      <c r="M101" s="89">
        <f ca="1">cc_in_focus*cc_show_type*MIN(cc_tracked, cc_budget)</f>
        <v>0</v>
      </c>
      <c r="N101" s="94">
        <f ca="1">cc_in_focus*cc_show_type*cc_show_remaining_budget*IF(cc_delta&gt;0, cc_delta, 0)</f>
        <v>0</v>
      </c>
      <c r="O101" s="108">
        <f ca="1">cc_in_focus*cc_show_type*IF(cc_delta&lt;0, ABS(cc_delta),0)</f>
        <v>0</v>
      </c>
      <c r="P101" s="108">
        <f t="shared" ca="1" si="0"/>
        <v>0</v>
      </c>
      <c r="Q101" s="94">
        <f t="shared" ca="1" si="1"/>
        <v>1500</v>
      </c>
      <c r="R101" s="108">
        <f t="shared" ca="1" si="2"/>
        <v>0</v>
      </c>
    </row>
    <row r="102" spans="4:18" ht="13.05" customHeight="1" x14ac:dyDescent="0.25">
      <c r="D102" s="162"/>
      <c r="E102" s="103"/>
      <c r="F102" s="103"/>
      <c r="G102" s="103"/>
      <c r="H102" s="103"/>
      <c r="I102" s="103"/>
      <c r="J102" s="107"/>
      <c r="K102" s="107"/>
      <c r="L102" s="107"/>
      <c r="M102" s="103"/>
      <c r="N102" s="103"/>
      <c r="O102" s="103"/>
      <c r="P102" s="131">
        <f t="shared" si="0"/>
        <v>0</v>
      </c>
      <c r="Q102" s="107">
        <f t="shared" si="1"/>
        <v>0</v>
      </c>
      <c r="R102" s="108">
        <f t="shared" si="2"/>
        <v>0</v>
      </c>
    </row>
  </sheetData>
  <mergeCells count="19">
    <mergeCell ref="D87:D90"/>
    <mergeCell ref="D91:D94"/>
    <mergeCell ref="D95:D98"/>
    <mergeCell ref="D99:D102"/>
    <mergeCell ref="D67:D70"/>
    <mergeCell ref="D71:D74"/>
    <mergeCell ref="D75:D78"/>
    <mergeCell ref="D79:D82"/>
    <mergeCell ref="D83:D86"/>
    <mergeCell ref="M53:O53"/>
    <mergeCell ref="P53:R53"/>
    <mergeCell ref="D55:D58"/>
    <mergeCell ref="D59:D62"/>
    <mergeCell ref="D63:D66"/>
    <mergeCell ref="C6:F6"/>
    <mergeCell ref="C17:F17"/>
    <mergeCell ref="D32:E32"/>
    <mergeCell ref="D47:E47"/>
    <mergeCell ref="C1:F2"/>
  </mergeCells>
  <phoneticPr fontId="4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650F3-A7A7-4803-A099-F36D27EC535E}">
  <dimension ref="A1:O26"/>
  <sheetViews>
    <sheetView workbookViewId="0">
      <selection activeCell="G28" sqref="G28"/>
    </sheetView>
  </sheetViews>
  <sheetFormatPr defaultRowHeight="13.8" x14ac:dyDescent="0.25"/>
  <cols>
    <col min="1" max="2" width="2.81640625" customWidth="1"/>
    <col min="3" max="3" width="2.1796875" customWidth="1"/>
    <col min="4" max="4" width="23.36328125" customWidth="1"/>
    <col min="5" max="5" width="20.7265625" customWidth="1"/>
    <col min="6" max="6" width="1.81640625" customWidth="1"/>
    <col min="7" max="7" width="68.7265625" customWidth="1"/>
    <col min="8" max="8" width="2.36328125" customWidth="1"/>
  </cols>
  <sheetData>
    <row r="1" spans="1:15" x14ac:dyDescent="0.25">
      <c r="A1" s="115"/>
      <c r="B1" s="115"/>
      <c r="C1" s="165" t="s">
        <v>7</v>
      </c>
      <c r="D1" s="165"/>
      <c r="E1" s="3"/>
      <c r="F1" s="3"/>
      <c r="G1" s="3"/>
      <c r="H1" s="3"/>
      <c r="I1" s="3"/>
      <c r="J1" s="3"/>
      <c r="K1" s="3"/>
      <c r="L1" s="3"/>
      <c r="M1" s="3"/>
      <c r="N1" s="3"/>
      <c r="O1" s="3"/>
    </row>
    <row r="2" spans="1:15" x14ac:dyDescent="0.25">
      <c r="A2" s="115"/>
      <c r="B2" s="115"/>
      <c r="C2" s="165"/>
      <c r="D2" s="165"/>
      <c r="E2" s="3"/>
      <c r="F2" s="3"/>
      <c r="G2" s="3"/>
      <c r="H2" s="3"/>
      <c r="I2" s="3"/>
      <c r="J2" s="3"/>
      <c r="K2" s="3"/>
      <c r="L2" s="3"/>
      <c r="M2" s="3"/>
      <c r="N2" s="3"/>
      <c r="O2" s="3"/>
    </row>
    <row r="5" spans="1:15" ht="9.4499999999999993" customHeight="1" x14ac:dyDescent="0.25">
      <c r="C5" s="143" t="s">
        <v>8</v>
      </c>
      <c r="D5" s="143"/>
      <c r="E5" s="143"/>
      <c r="F5" s="143"/>
      <c r="G5" s="143"/>
      <c r="H5" s="143"/>
    </row>
    <row r="6" spans="1:15" ht="9.4499999999999993" customHeight="1" x14ac:dyDescent="0.25">
      <c r="C6" s="143"/>
      <c r="D6" s="143"/>
      <c r="E6" s="143"/>
      <c r="F6" s="143"/>
      <c r="G6" s="143"/>
      <c r="H6" s="143"/>
    </row>
    <row r="7" spans="1:15" ht="9.4499999999999993" customHeight="1" x14ac:dyDescent="0.25">
      <c r="C7" s="28"/>
      <c r="D7" s="4"/>
      <c r="E7" s="4"/>
      <c r="F7" s="4"/>
      <c r="G7" s="4"/>
      <c r="H7" s="5"/>
    </row>
    <row r="8" spans="1:15" ht="13.5" customHeight="1" x14ac:dyDescent="0.25">
      <c r="C8" s="28"/>
      <c r="D8" s="8" t="s">
        <v>9</v>
      </c>
      <c r="E8" s="40">
        <v>2025</v>
      </c>
      <c r="F8" s="4"/>
      <c r="G8" s="9" t="s">
        <v>10</v>
      </c>
      <c r="H8" s="5"/>
    </row>
    <row r="9" spans="1:15" ht="9.4499999999999993" customHeight="1" x14ac:dyDescent="0.25">
      <c r="C9" s="39"/>
      <c r="D9" s="6"/>
      <c r="E9" s="6"/>
      <c r="F9" s="6"/>
      <c r="G9" s="6"/>
      <c r="H9" s="7"/>
    </row>
    <row r="12" spans="1:15" ht="13.05" customHeight="1" x14ac:dyDescent="0.25">
      <c r="C12" s="143" t="s">
        <v>32</v>
      </c>
      <c r="D12" s="143"/>
      <c r="E12" s="143"/>
      <c r="F12" s="143"/>
      <c r="G12" s="143"/>
      <c r="H12" s="143"/>
    </row>
    <row r="13" spans="1:15" ht="13.05" customHeight="1" x14ac:dyDescent="0.25">
      <c r="C13" s="143"/>
      <c r="D13" s="143"/>
      <c r="E13" s="143"/>
      <c r="F13" s="143"/>
      <c r="G13" s="143"/>
      <c r="H13" s="143"/>
    </row>
    <row r="14" spans="1:15" ht="13.05" customHeight="1" x14ac:dyDescent="0.25">
      <c r="C14" s="28"/>
      <c r="D14" s="4"/>
      <c r="E14" s="4"/>
      <c r="F14" s="4"/>
      <c r="G14" s="4"/>
      <c r="H14" s="5"/>
    </row>
    <row r="15" spans="1:15" ht="13.05" customHeight="1" x14ac:dyDescent="0.25">
      <c r="C15" s="28"/>
      <c r="D15" s="37" t="s">
        <v>33</v>
      </c>
      <c r="E15" s="4"/>
      <c r="F15" s="4"/>
      <c r="G15" s="4"/>
      <c r="H15" s="5"/>
    </row>
    <row r="16" spans="1:15" ht="13.05" customHeight="1" x14ac:dyDescent="0.25">
      <c r="C16" s="28"/>
      <c r="D16" s="36"/>
      <c r="E16" s="4"/>
      <c r="F16" s="4"/>
      <c r="G16" s="4"/>
      <c r="H16" s="5"/>
    </row>
    <row r="17" spans="3:8" ht="16.05" customHeight="1" x14ac:dyDescent="0.25">
      <c r="C17" s="28"/>
      <c r="D17" s="38" t="s">
        <v>34</v>
      </c>
      <c r="E17" s="40" t="s">
        <v>35</v>
      </c>
      <c r="F17" s="4"/>
      <c r="G17" s="164" t="s">
        <v>37</v>
      </c>
      <c r="H17" s="5"/>
    </row>
    <row r="18" spans="3:8" ht="7.5" customHeight="1" x14ac:dyDescent="0.25">
      <c r="C18" s="28"/>
      <c r="D18" s="38"/>
      <c r="E18" s="4"/>
      <c r="F18" s="4"/>
      <c r="G18" s="164"/>
      <c r="H18" s="5"/>
    </row>
    <row r="19" spans="3:8" ht="13.05" customHeight="1" x14ac:dyDescent="0.25">
      <c r="C19" s="28"/>
      <c r="D19" s="38" t="s">
        <v>36</v>
      </c>
      <c r="E19" s="40">
        <v>25</v>
      </c>
      <c r="F19" s="4"/>
      <c r="G19" s="164"/>
      <c r="H19" s="5"/>
    </row>
    <row r="20" spans="3:8" x14ac:dyDescent="0.25">
      <c r="C20" s="28"/>
      <c r="D20" s="4"/>
      <c r="E20" s="4"/>
      <c r="F20" s="4"/>
      <c r="G20" s="4"/>
      <c r="H20" s="5"/>
    </row>
    <row r="21" spans="3:8" ht="25.2" x14ac:dyDescent="0.25">
      <c r="C21" s="28"/>
      <c r="D21" s="37" t="s">
        <v>111</v>
      </c>
      <c r="E21" s="4"/>
      <c r="F21" s="4"/>
      <c r="G21" s="4"/>
      <c r="H21" s="5"/>
    </row>
    <row r="22" spans="3:8" x14ac:dyDescent="0.25">
      <c r="C22" s="28"/>
      <c r="D22" s="4"/>
      <c r="E22" s="4"/>
      <c r="F22" s="4"/>
      <c r="G22" s="4"/>
      <c r="H22" s="5"/>
    </row>
    <row r="23" spans="3:8" ht="25.05" customHeight="1" x14ac:dyDescent="0.25">
      <c r="C23" s="28"/>
      <c r="D23" s="116" t="s">
        <v>112</v>
      </c>
      <c r="E23" s="114" t="s">
        <v>113</v>
      </c>
      <c r="F23" s="4"/>
      <c r="G23" s="164" t="s">
        <v>140</v>
      </c>
      <c r="H23" s="5"/>
    </row>
    <row r="24" spans="3:8" ht="13.95" customHeight="1" x14ac:dyDescent="0.25">
      <c r="C24" s="28"/>
      <c r="D24" s="4"/>
      <c r="E24" s="4"/>
      <c r="F24" s="4"/>
      <c r="G24" s="164"/>
      <c r="H24" s="5"/>
    </row>
    <row r="25" spans="3:8" x14ac:dyDescent="0.25">
      <c r="C25" s="39"/>
      <c r="D25" s="6"/>
      <c r="E25" s="6"/>
      <c r="F25" s="6"/>
      <c r="G25" s="6"/>
      <c r="H25" s="7"/>
    </row>
    <row r="26" spans="3:8" x14ac:dyDescent="0.25">
      <c r="C26" s="4"/>
      <c r="D26" s="4"/>
      <c r="E26" s="4"/>
      <c r="F26" s="4"/>
      <c r="G26" s="4"/>
      <c r="H26" s="4"/>
    </row>
  </sheetData>
  <mergeCells count="5">
    <mergeCell ref="G23:G24"/>
    <mergeCell ref="C5:H6"/>
    <mergeCell ref="C12:H13"/>
    <mergeCell ref="G17:G19"/>
    <mergeCell ref="C1:D2"/>
  </mergeCells>
  <conditionalFormatting sqref="E19">
    <cfRule type="expression" dxfId="0" priority="1">
      <formula>shift_late_income_status = "inactive"</formula>
    </cfRule>
  </conditionalFormatting>
  <dataValidations count="2">
    <dataValidation type="list" allowBlank="1" showInputMessage="1" showErrorMessage="1" sqref="E17:E18" xr:uid="{022A0A31-5710-46BF-8757-42951618753E}">
      <formula1>"Active, Inactive"</formula1>
    </dataValidation>
    <dataValidation type="list" allowBlank="1" showInputMessage="1" showErrorMessage="1" sqref="E23" xr:uid="{8EAC737A-DC59-41FA-B3E6-6C2D1E300E99}">
      <formula1>"% allocated to Savings, % not allocated to Expenses"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A0205-4F04-45B8-8160-844A037EC340}">
  <dimension ref="A1:U22"/>
  <sheetViews>
    <sheetView workbookViewId="0">
      <selection activeCell="K12" sqref="K12"/>
    </sheetView>
  </sheetViews>
  <sheetFormatPr defaultRowHeight="13.8" x14ac:dyDescent="0.25"/>
  <cols>
    <col min="1" max="2" width="3.36328125" customWidth="1"/>
    <col min="3" max="3" width="16.81640625" customWidth="1"/>
    <col min="5" max="5" width="15.7265625" customWidth="1"/>
  </cols>
  <sheetData>
    <row r="1" spans="1:21" x14ac:dyDescent="0.25">
      <c r="A1" s="48"/>
      <c r="B1" s="48"/>
      <c r="C1" s="48"/>
      <c r="D1" s="48"/>
      <c r="E1" s="48"/>
      <c r="F1" s="48"/>
      <c r="G1" s="48"/>
      <c r="H1" s="48"/>
      <c r="I1" s="48"/>
      <c r="J1" s="48"/>
      <c r="K1" s="48"/>
      <c r="L1" s="48"/>
      <c r="M1" s="48"/>
      <c r="N1" s="48"/>
      <c r="O1" s="48"/>
      <c r="P1" s="48"/>
      <c r="Q1" s="48"/>
      <c r="R1" s="48"/>
      <c r="S1" s="48"/>
      <c r="T1" s="48"/>
      <c r="U1" s="48"/>
    </row>
    <row r="2" spans="1:21" x14ac:dyDescent="0.25">
      <c r="A2" s="48"/>
      <c r="B2" s="48"/>
      <c r="C2" s="166" t="s">
        <v>52</v>
      </c>
      <c r="D2" s="167"/>
      <c r="E2" s="48"/>
      <c r="F2" s="48"/>
      <c r="G2" s="48"/>
      <c r="H2" s="48"/>
      <c r="I2" s="48"/>
      <c r="J2" s="48"/>
      <c r="K2" s="48"/>
      <c r="L2" s="48"/>
      <c r="M2" s="48"/>
      <c r="N2" s="48"/>
      <c r="O2" s="48"/>
      <c r="P2" s="48"/>
      <c r="Q2" s="48"/>
      <c r="R2" s="48"/>
      <c r="S2" s="48"/>
      <c r="T2" s="48"/>
      <c r="U2" s="48"/>
    </row>
    <row r="3" spans="1:21" ht="5.55" customHeight="1" x14ac:dyDescent="0.25">
      <c r="A3" s="48"/>
      <c r="B3" s="48"/>
      <c r="C3" s="48"/>
      <c r="D3" s="48"/>
      <c r="E3" s="48"/>
      <c r="F3" s="48"/>
      <c r="G3" s="48"/>
      <c r="H3" s="48"/>
      <c r="I3" s="48"/>
      <c r="J3" s="48"/>
      <c r="K3" s="48"/>
      <c r="L3" s="48"/>
      <c r="M3" s="48"/>
      <c r="N3" s="48"/>
      <c r="O3" s="48"/>
      <c r="P3" s="48"/>
      <c r="Q3" s="48"/>
      <c r="R3" s="48"/>
      <c r="S3" s="48"/>
      <c r="T3" s="48"/>
      <c r="U3" s="48"/>
    </row>
    <row r="7" spans="1:21" ht="18.45" customHeight="1" x14ac:dyDescent="0.25">
      <c r="C7" s="2" t="s">
        <v>53</v>
      </c>
      <c r="E7" s="2" t="s">
        <v>55</v>
      </c>
    </row>
    <row r="8" spans="1:21" x14ac:dyDescent="0.25">
      <c r="C8" s="50" t="s">
        <v>54</v>
      </c>
      <c r="E8" s="53" t="s">
        <v>56</v>
      </c>
    </row>
    <row r="9" spans="1:21" x14ac:dyDescent="0.25">
      <c r="C9" s="50">
        <f>starting_year</f>
        <v>2025</v>
      </c>
      <c r="E9" s="53" t="s">
        <v>57</v>
      </c>
    </row>
    <row r="10" spans="1:21" x14ac:dyDescent="0.25">
      <c r="C10" s="50">
        <f>C9+1</f>
        <v>2026</v>
      </c>
      <c r="E10" s="54">
        <v>36526</v>
      </c>
    </row>
    <row r="11" spans="1:21" x14ac:dyDescent="0.25">
      <c r="C11" s="50">
        <f t="shared" ref="C11:C18" si="0">C10+1</f>
        <v>2027</v>
      </c>
      <c r="E11" s="54">
        <v>36557</v>
      </c>
    </row>
    <row r="12" spans="1:21" x14ac:dyDescent="0.25">
      <c r="C12" s="50">
        <f t="shared" si="0"/>
        <v>2028</v>
      </c>
      <c r="E12" s="54">
        <v>36586</v>
      </c>
    </row>
    <row r="13" spans="1:21" x14ac:dyDescent="0.25">
      <c r="C13" s="50">
        <f t="shared" si="0"/>
        <v>2029</v>
      </c>
      <c r="E13" s="54">
        <v>36617</v>
      </c>
    </row>
    <row r="14" spans="1:21" x14ac:dyDescent="0.25">
      <c r="C14" s="50">
        <f t="shared" si="0"/>
        <v>2030</v>
      </c>
      <c r="E14" s="54">
        <v>36647</v>
      </c>
    </row>
    <row r="15" spans="1:21" x14ac:dyDescent="0.25">
      <c r="C15" s="50">
        <f t="shared" si="0"/>
        <v>2031</v>
      </c>
      <c r="E15" s="54">
        <v>36678</v>
      </c>
    </row>
    <row r="16" spans="1:21" x14ac:dyDescent="0.25">
      <c r="C16" s="50">
        <f t="shared" si="0"/>
        <v>2032</v>
      </c>
      <c r="E16" s="54">
        <v>36708</v>
      </c>
    </row>
    <row r="17" spans="3:5" x14ac:dyDescent="0.25">
      <c r="C17" s="50">
        <f t="shared" si="0"/>
        <v>2033</v>
      </c>
      <c r="E17" s="54">
        <v>36739</v>
      </c>
    </row>
    <row r="18" spans="3:5" x14ac:dyDescent="0.25">
      <c r="C18" s="51">
        <f t="shared" si="0"/>
        <v>2034</v>
      </c>
      <c r="E18" s="54">
        <v>36770</v>
      </c>
    </row>
    <row r="19" spans="3:5" x14ac:dyDescent="0.25">
      <c r="E19" s="54">
        <v>36800</v>
      </c>
    </row>
    <row r="20" spans="3:5" x14ac:dyDescent="0.25">
      <c r="E20" s="54">
        <v>36831</v>
      </c>
    </row>
    <row r="21" spans="3:5" x14ac:dyDescent="0.25">
      <c r="E21" s="55">
        <v>36861</v>
      </c>
    </row>
    <row r="22" spans="3:5" x14ac:dyDescent="0.25">
      <c r="E22" s="52"/>
    </row>
  </sheetData>
  <mergeCells count="1">
    <mergeCell ref="C2: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6739BB-0C42-4225-8942-75321ECE86A8}">
  <ds:schemaRefs>
    <ds:schemaRef ds:uri="http://schemas.microsoft.com/sharepoint/v3/contenttype/forms"/>
  </ds:schemaRefs>
</ds:datastoreItem>
</file>

<file path=customXml/itemProps2.xml><?xml version="1.0" encoding="utf-8"?>
<ds:datastoreItem xmlns:ds="http://schemas.openxmlformats.org/officeDocument/2006/customXml" ds:itemID="{5211B695-AD7D-4427-AEB9-8D784C3ACF6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FFA8144-341C-4D44-B918-3FA71F78CF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TM03107654</Template>
  <Application>Microsoft Excel</Application>
  <DocSecurity>0</DocSecurity>
  <ScaleCrop>false</ScaleCrop>
  <HeadingPairs>
    <vt:vector size="4" baseType="variant">
      <vt:variant>
        <vt:lpstr>Worksheets</vt:lpstr>
      </vt:variant>
      <vt:variant>
        <vt:i4>7</vt:i4>
      </vt:variant>
      <vt:variant>
        <vt:lpstr>Named Ranges</vt:lpstr>
      </vt:variant>
      <vt:variant>
        <vt:i4>39</vt:i4>
      </vt:variant>
    </vt:vector>
  </HeadingPairs>
  <TitlesOfParts>
    <vt:vector size="46" baseType="lpstr">
      <vt:lpstr>Guide </vt:lpstr>
      <vt:lpstr>Budget Planning</vt:lpstr>
      <vt:lpstr>Budget Tracking</vt:lpstr>
      <vt:lpstr>Budget Dashboard</vt:lpstr>
      <vt:lpstr>Calculations</vt:lpstr>
      <vt:lpstr>Settings</vt:lpstr>
      <vt:lpstr>Dropdown Data</vt:lpstr>
      <vt:lpstr>'Budget Dashboard'!budget</vt:lpstr>
      <vt:lpstr>'Budget Dashboard'!budget_range</vt:lpstr>
      <vt:lpstr>'Budget Dashboard'!budget_rank</vt:lpstr>
      <vt:lpstr>Calculations!cc_budget</vt:lpstr>
      <vt:lpstr>Calculations!cc_delta</vt:lpstr>
      <vt:lpstr>Calculations!cc_in_focus</vt:lpstr>
      <vt:lpstr>Calculations!cc_month_number</vt:lpstr>
      <vt:lpstr>Calculations!cc_show_remaining_budget</vt:lpstr>
      <vt:lpstr>Calculations!cc_show_type</vt:lpstr>
      <vt:lpstr>Calculations!cc_tracked</vt:lpstr>
      <vt:lpstr>Calculations!cc_type</vt:lpstr>
      <vt:lpstr>'Budget Dashboard'!com_rank</vt:lpstr>
      <vt:lpstr>'Budget Dashboard'!comb_rank_norm</vt:lpstr>
      <vt:lpstr>'Budget Dashboard'!comb_rank_norm_run_range</vt:lpstr>
      <vt:lpstr>'Budget Dashboard'!comb_rank_range</vt:lpstr>
      <vt:lpstr>'Budget Dashboard'!comb_rank_unique</vt:lpstr>
      <vt:lpstr>'Budget Dashboard'!header_row_id</vt:lpstr>
      <vt:lpstr>'Budget Dashboard'!is_cat</vt:lpstr>
      <vt:lpstr>'Budget Dashboard'!is_empty</vt:lpstr>
      <vt:lpstr>'Budget Dashboard'!is_header</vt:lpstr>
      <vt:lpstr>'Budget Dashboard'!is_total</vt:lpstr>
      <vt:lpstr>'Budget Dashboard'!item</vt:lpstr>
      <vt:lpstr>'Budget Dashboard'!out_budget</vt:lpstr>
      <vt:lpstr>'Budget Dashboard'!out_percent_completed</vt:lpstr>
      <vt:lpstr>'Budget Dashboard'!out_tracked</vt:lpstr>
      <vt:lpstr>'Budget Dashboard'!row_id</vt:lpstr>
      <vt:lpstr>savings_rate_cal_type</vt:lpstr>
      <vt:lpstr>selected_period</vt:lpstr>
      <vt:lpstr>selected_period_display</vt:lpstr>
      <vt:lpstr>selected_year</vt:lpstr>
      <vt:lpstr>shift_late_income_starting_day</vt:lpstr>
      <vt:lpstr>shift_late_income_status</vt:lpstr>
      <vt:lpstr>'Budget Dashboard'!sort_max_row</vt:lpstr>
      <vt:lpstr>'Budget Dashboard'!sort_min_row</vt:lpstr>
      <vt:lpstr>starting_year</vt:lpstr>
      <vt:lpstr>'Budget Dashboard'!tracked</vt:lpstr>
      <vt:lpstr>'Budget Dashboard'!tracked_range</vt:lpstr>
      <vt:lpstr>'Budget Dashboard'!tracked_rank</vt:lpstr>
      <vt:lpstr>'Budget Dashboard'!type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2022-02-14T06:29:35Z</dcterms:created>
  <dcterms:modified xsi:type="dcterms:W3CDTF">2025-05-18T15:00:19Z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SIP_Label_9043f10a-881e-4653-a55e-02ca2cc829dc_Enabled">
    <vt:lpwstr>true</vt:lpwstr>
  </property>
  <property fmtid="{D5CDD505-2E9C-101B-9397-08002B2CF9AE}" pid="4" name="MSIP_Label_9043f10a-881e-4653-a55e-02ca2cc829dc_SetDate">
    <vt:lpwstr>2025-04-27T19:57:23Z</vt:lpwstr>
  </property>
  <property fmtid="{D5CDD505-2E9C-101B-9397-08002B2CF9AE}" pid="5" name="MSIP_Label_9043f10a-881e-4653-a55e-02ca2cc829dc_Method">
    <vt:lpwstr>Standard</vt:lpwstr>
  </property>
  <property fmtid="{D5CDD505-2E9C-101B-9397-08002B2CF9AE}" pid="6" name="MSIP_Label_9043f10a-881e-4653-a55e-02ca2cc829dc_Name">
    <vt:lpwstr>ADC_class_200</vt:lpwstr>
  </property>
  <property fmtid="{D5CDD505-2E9C-101B-9397-08002B2CF9AE}" pid="7" name="MSIP_Label_9043f10a-881e-4653-a55e-02ca2cc829dc_SiteId">
    <vt:lpwstr>94cfddbc-0627-494a-ad7a-29aea3aea832</vt:lpwstr>
  </property>
  <property fmtid="{D5CDD505-2E9C-101B-9397-08002B2CF9AE}" pid="8" name="MSIP_Label_9043f10a-881e-4653-a55e-02ca2cc829dc_ActionId">
    <vt:lpwstr>0806c1b0-b028-44f3-8abf-8b7a9dcaa667</vt:lpwstr>
  </property>
  <property fmtid="{D5CDD505-2E9C-101B-9397-08002B2CF9AE}" pid="9" name="MSIP_Label_9043f10a-881e-4653-a55e-02ca2cc829dc_ContentBits">
    <vt:lpwstr>0</vt:lpwstr>
  </property>
</Properties>
</file>